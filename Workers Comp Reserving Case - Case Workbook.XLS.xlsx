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toronto-my.sharepoint.com/personal/howardzhang_zhang_mail_utoronto_ca/Documents/"/>
    </mc:Choice>
  </mc:AlternateContent>
  <xr:revisionPtr revIDLastSave="0" documentId="8_{0F444968-35AC-4A11-A81C-DF36465E8716}" xr6:coauthVersionLast="47" xr6:coauthVersionMax="47" xr10:uidLastSave="{00000000-0000-0000-0000-000000000000}"/>
  <bookViews>
    <workbookView xWindow="0" yWindow="660" windowWidth="25600" windowHeight="14460" tabRatio="799" firstSheet="2" activeTab="2" xr2:uid="{00000000-000D-0000-FFFF-FFFF00000000}"/>
  </bookViews>
  <sheets>
    <sheet name="Intro" sheetId="15" r:id="rId1"/>
    <sheet name="Summary" sheetId="13" r:id="rId2"/>
    <sheet name="Base_Indem_Tri" sheetId="4" r:id="rId3"/>
    <sheet name="Base_Med_Tri" sheetId="5" r:id="rId4"/>
    <sheet name="% of Ult" sheetId="6" r:id="rId5"/>
    <sheet name="Catastrophe" sheetId="12" r:id="rId6"/>
  </sheets>
  <externalReferences>
    <externalReference r:id="rId7"/>
  </externalReference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TRUE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Company">[1]Inputs!$A$8</definedName>
    <definedName name="EffDate">[1]Inputs!$A$5</definedName>
    <definedName name="LatestYear">[1]Inputs!$A$3</definedName>
    <definedName name="LOB">[1]Inputs!$A$9</definedName>
    <definedName name="_xlnm.Print_Area" localSheetId="0">Intro!$B$2:$E$41</definedName>
    <definedName name="_xlnm.Print_Area" localSheetId="1">Summary!$A$1:$O$34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315000</definedName>
    <definedName name="RiskHasSettings" hidden="1">6</definedName>
    <definedName name="RiskMinimizeOnStart" hidden="1">TRUE</definedName>
    <definedName name="RiskMonitorConvergence" hidden="1">TRUE</definedName>
    <definedName name="RiskMultipleCPUSupportEnabled" hidden="1">TRUE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Roman" localSheetId="3">#REF!</definedName>
    <definedName name="Roman" localSheetId="0">#REF!</definedName>
    <definedName name="Roman">#REF!</definedName>
    <definedName name="State">[1]Inputs!$A$7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7" i="5" l="1"/>
  <c r="N57" i="5"/>
  <c r="M57" i="5" s="1"/>
  <c r="AH6" i="4"/>
  <c r="AF20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P8" i="4"/>
  <c r="AB31" i="4"/>
  <c r="AC30" i="4"/>
  <c r="F20" i="4"/>
  <c r="E20" i="4"/>
  <c r="D19" i="4"/>
  <c r="D20" i="4"/>
  <c r="C20" i="4"/>
  <c r="O9" i="4"/>
  <c r="O10" i="4"/>
  <c r="O11" i="4"/>
  <c r="O12" i="4"/>
  <c r="O13" i="4"/>
  <c r="O14" i="4"/>
  <c r="O15" i="4"/>
  <c r="O16" i="4"/>
  <c r="O17" i="4"/>
  <c r="O18" i="4"/>
  <c r="O8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6" i="4"/>
  <c r="G20" i="4"/>
  <c r="H20" i="4" s="1"/>
  <c r="I20" i="4" s="1"/>
  <c r="J20" i="4" s="1"/>
  <c r="K20" i="4" s="1"/>
  <c r="L20" i="4" s="1"/>
  <c r="M20" i="4" s="1"/>
  <c r="N20" i="4" s="1"/>
  <c r="O20" i="4" s="1"/>
  <c r="E19" i="4"/>
  <c r="F19" i="4" s="1"/>
  <c r="G19" i="4" s="1"/>
  <c r="H19" i="4" s="1"/>
  <c r="I19" i="4" s="1"/>
  <c r="J19" i="4" s="1"/>
  <c r="K19" i="4" s="1"/>
  <c r="L19" i="4" s="1"/>
  <c r="M19" i="4" s="1"/>
  <c r="N19" i="4" s="1"/>
  <c r="O19" i="4" s="1"/>
  <c r="E18" i="4"/>
  <c r="F18" i="4" s="1"/>
  <c r="G18" i="4" s="1"/>
  <c r="H18" i="4" s="1"/>
  <c r="I18" i="4" s="1"/>
  <c r="J18" i="4" s="1"/>
  <c r="K18" i="4" s="1"/>
  <c r="L18" i="4" s="1"/>
  <c r="M18" i="4" s="1"/>
  <c r="N18" i="4" s="1"/>
  <c r="D39" i="4"/>
  <c r="C39" i="4"/>
  <c r="B39" i="4"/>
  <c r="E4" i="4"/>
  <c r="AG17" i="4"/>
  <c r="D4" i="4"/>
  <c r="C4" i="4"/>
  <c r="F17" i="4"/>
  <c r="G17" i="4" s="1"/>
  <c r="H17" i="4" s="1"/>
  <c r="I17" i="4" s="1"/>
  <c r="J17" i="4" s="1"/>
  <c r="K17" i="4" s="1"/>
  <c r="L17" i="4" s="1"/>
  <c r="M17" i="4" s="1"/>
  <c r="N17" i="4" s="1"/>
  <c r="G16" i="4"/>
  <c r="H16" i="4" s="1"/>
  <c r="I16" i="4" s="1"/>
  <c r="J16" i="4" s="1"/>
  <c r="K16" i="4" s="1"/>
  <c r="L16" i="4" s="1"/>
  <c r="M16" i="4" s="1"/>
  <c r="N16" i="4" s="1"/>
  <c r="H15" i="4"/>
  <c r="N9" i="4"/>
  <c r="N11" i="4"/>
  <c r="I15" i="4"/>
  <c r="J15" i="4" s="1"/>
  <c r="K15" i="4" s="1"/>
  <c r="L15" i="4" s="1"/>
  <c r="M15" i="4" s="1"/>
  <c r="N15" i="4" s="1"/>
  <c r="I14" i="4"/>
  <c r="J14" i="4" s="1"/>
  <c r="K14" i="4" s="1"/>
  <c r="L14" i="4" s="1"/>
  <c r="M14" i="4" s="1"/>
  <c r="N14" i="4" s="1"/>
  <c r="J13" i="4"/>
  <c r="K12" i="4"/>
  <c r="L12" i="4" s="1"/>
  <c r="M12" i="4" s="1"/>
  <c r="N12" i="4" s="1"/>
  <c r="L11" i="4"/>
  <c r="M11" i="4" s="1"/>
  <c r="M10" i="4"/>
  <c r="N10" i="4" s="1"/>
  <c r="AE12" i="4"/>
  <c r="AF12" i="4" s="1"/>
  <c r="AL12" i="4"/>
  <c r="AL13" i="4" s="1"/>
  <c r="AL14" i="4" s="1"/>
  <c r="AL15" i="4" s="1"/>
  <c r="AL16" i="4" s="1"/>
  <c r="AL17" i="4" s="1"/>
  <c r="AF13" i="4"/>
  <c r="AF14" i="4"/>
  <c r="AF8" i="4"/>
  <c r="AZ6" i="4"/>
  <c r="X16" i="4"/>
  <c r="Y16" i="4" s="1"/>
  <c r="Z16" i="4" s="1"/>
  <c r="AA16" i="4" s="1"/>
  <c r="AB16" i="4" s="1"/>
  <c r="AC16" i="4" s="1"/>
  <c r="AD16" i="4" s="1"/>
  <c r="AE16" i="4" s="1"/>
  <c r="AF16" i="4" s="1"/>
  <c r="Y15" i="4"/>
  <c r="Z15" i="4" s="1"/>
  <c r="AA15" i="4" s="1"/>
  <c r="AB15" i="4" s="1"/>
  <c r="AC15" i="4" s="1"/>
  <c r="AD15" i="4" s="1"/>
  <c r="AE15" i="4" s="1"/>
  <c r="AF15" i="4" s="1"/>
  <c r="Z14" i="4"/>
  <c r="AA14" i="4" s="1"/>
  <c r="AB14" i="4" s="1"/>
  <c r="AC14" i="4" s="1"/>
  <c r="AD14" i="4" s="1"/>
  <c r="AE14" i="4" s="1"/>
  <c r="AA13" i="4"/>
  <c r="AB13" i="4" s="1"/>
  <c r="AC13" i="4" s="1"/>
  <c r="AD13" i="4" s="1"/>
  <c r="AE13" i="4" s="1"/>
  <c r="AB12" i="4"/>
  <c r="AC12" i="4" s="1"/>
  <c r="AD12" i="4" s="1"/>
  <c r="AC11" i="4"/>
  <c r="AD11" i="4" s="1"/>
  <c r="AE11" i="4" s="1"/>
  <c r="AF11" i="4" s="1"/>
  <c r="AD10" i="4"/>
  <c r="AE10" i="4" s="1"/>
  <c r="AF10" i="4" s="1"/>
  <c r="W17" i="4"/>
  <c r="X17" i="4" s="1"/>
  <c r="Y17" i="4" s="1"/>
  <c r="Z17" i="4" s="1"/>
  <c r="AA17" i="4" s="1"/>
  <c r="AB17" i="4" s="1"/>
  <c r="AC17" i="4" s="1"/>
  <c r="AD17" i="4" s="1"/>
  <c r="AE17" i="4" s="1"/>
  <c r="AF17" i="4" s="1"/>
  <c r="AE9" i="4"/>
  <c r="AF9" i="4" s="1"/>
  <c r="U39" i="4"/>
  <c r="V4" i="4"/>
  <c r="U4" i="4"/>
  <c r="T4" i="4"/>
  <c r="AL41" i="4"/>
  <c r="P39" i="5"/>
  <c r="P35" i="5"/>
  <c r="P32" i="5"/>
  <c r="P31" i="5"/>
  <c r="A70" i="5"/>
  <c r="A67" i="5"/>
  <c r="A36" i="5"/>
  <c r="A32" i="5"/>
  <c r="R41" i="4"/>
  <c r="R39" i="4"/>
  <c r="R38" i="4"/>
  <c r="Q15" i="13"/>
  <c r="R34" i="4"/>
  <c r="R33" i="4"/>
  <c r="Q10" i="13"/>
  <c r="R30" i="4"/>
  <c r="Q40" i="13"/>
  <c r="V40" i="13" s="1"/>
  <c r="Q39" i="13"/>
  <c r="V39" i="13" s="1"/>
  <c r="Q38" i="13"/>
  <c r="V38" i="13" s="1"/>
  <c r="A38" i="4"/>
  <c r="Q33" i="13"/>
  <c r="V33" i="13" s="1"/>
  <c r="A34" i="4"/>
  <c r="Q29" i="13"/>
  <c r="V29" i="13" s="1"/>
  <c r="Q28" i="13"/>
  <c r="V28" i="13" s="1"/>
  <c r="X28" i="13"/>
  <c r="AE57" i="4"/>
  <c r="S8" i="13" s="1"/>
  <c r="N57" i="4"/>
  <c r="S28" i="13" s="1"/>
  <c r="P56" i="5"/>
  <c r="P55" i="5"/>
  <c r="P54" i="5"/>
  <c r="P53" i="5"/>
  <c r="P52" i="5"/>
  <c r="A53" i="5"/>
  <c r="A54" i="5"/>
  <c r="A55" i="5"/>
  <c r="A56" i="5"/>
  <c r="A52" i="5"/>
  <c r="R56" i="4"/>
  <c r="A56" i="4"/>
  <c r="R55" i="4"/>
  <c r="R54" i="4"/>
  <c r="R53" i="4"/>
  <c r="R52" i="4"/>
  <c r="A53" i="4"/>
  <c r="A54" i="4"/>
  <c r="A55" i="4"/>
  <c r="A52" i="4"/>
  <c r="B28" i="13"/>
  <c r="B29" i="13" s="1"/>
  <c r="B30" i="13" s="1"/>
  <c r="B31" i="13" s="1"/>
  <c r="B32" i="13" s="1"/>
  <c r="B33" i="13" s="1"/>
  <c r="F27" i="13" s="1"/>
  <c r="F28" i="13" s="1"/>
  <c r="F29" i="13" s="1"/>
  <c r="F30" i="13" s="1"/>
  <c r="F31" i="13" s="1"/>
  <c r="F32" i="13" s="1"/>
  <c r="C9" i="13"/>
  <c r="D9" i="13" s="1"/>
  <c r="E9" i="13" s="1"/>
  <c r="F9" i="13" s="1"/>
  <c r="G9" i="13" s="1"/>
  <c r="H9" i="13" s="1"/>
  <c r="I9" i="13" s="1"/>
  <c r="J9" i="13" s="1"/>
  <c r="K9" i="13" s="1"/>
  <c r="L9" i="13" s="1"/>
  <c r="M9" i="13" s="1"/>
  <c r="N9" i="13" s="1"/>
  <c r="Q20" i="13"/>
  <c r="V20" i="13" s="1"/>
  <c r="P40" i="5"/>
  <c r="A40" i="4"/>
  <c r="A41" i="4"/>
  <c r="R40" i="4"/>
  <c r="Q18" i="13"/>
  <c r="B21" i="13" s="1"/>
  <c r="Q17" i="13"/>
  <c r="B20" i="13" s="1"/>
  <c r="A38" i="5"/>
  <c r="P37" i="5"/>
  <c r="P36" i="5"/>
  <c r="R37" i="4"/>
  <c r="A36" i="4"/>
  <c r="Q34" i="13"/>
  <c r="V34" i="13" s="1"/>
  <c r="A35" i="5"/>
  <c r="A35" i="4"/>
  <c r="R35" i="4"/>
  <c r="Q13" i="13"/>
  <c r="B16" i="13" s="1"/>
  <c r="P34" i="5"/>
  <c r="A34" i="5"/>
  <c r="Q32" i="13"/>
  <c r="V32" i="13" s="1"/>
  <c r="Q12" i="13"/>
  <c r="B15" i="13" s="1"/>
  <c r="P33" i="5"/>
  <c r="A33" i="5"/>
  <c r="A32" i="4"/>
  <c r="Q30" i="13"/>
  <c r="V30" i="13" s="1"/>
  <c r="R32" i="4"/>
  <c r="A31" i="5"/>
  <c r="P30" i="5"/>
  <c r="R31" i="4"/>
  <c r="Q9" i="13"/>
  <c r="B12" i="13" s="1"/>
  <c r="A31" i="4"/>
  <c r="A30" i="5"/>
  <c r="A30" i="4"/>
  <c r="Q8" i="13"/>
  <c r="V8" i="13" s="1"/>
  <c r="X8" i="13"/>
  <c r="A7" i="6"/>
  <c r="A8" i="6"/>
  <c r="P70" i="5"/>
  <c r="A71" i="4"/>
  <c r="R70" i="4"/>
  <c r="A68" i="5"/>
  <c r="P67" i="5"/>
  <c r="A70" i="4"/>
  <c r="R69" i="4"/>
  <c r="A68" i="4"/>
  <c r="AZ7" i="4" l="1"/>
  <c r="AZ8" i="4"/>
  <c r="K13" i="4"/>
  <c r="L13" i="4" s="1"/>
  <c r="M13" i="4" s="1"/>
  <c r="N13" i="4" s="1"/>
  <c r="V9" i="13"/>
  <c r="A9" i="6"/>
  <c r="B23" i="13"/>
  <c r="F8" i="13" s="1"/>
  <c r="V12" i="13"/>
  <c r="V17" i="13"/>
  <c r="B11" i="13"/>
  <c r="B18" i="13"/>
  <c r="V15" i="13"/>
  <c r="V18" i="13"/>
  <c r="Q36" i="13"/>
  <c r="V36" i="13" s="1"/>
  <c r="A40" i="5"/>
  <c r="Q11" i="13"/>
  <c r="V13" i="13"/>
  <c r="R67" i="4"/>
  <c r="P69" i="5"/>
  <c r="A37" i="5"/>
  <c r="Q37" i="13"/>
  <c r="V37" i="13" s="1"/>
  <c r="A69" i="4"/>
  <c r="A39" i="4"/>
  <c r="A39" i="5"/>
  <c r="A69" i="5"/>
  <c r="A33" i="4"/>
  <c r="Q31" i="13"/>
  <c r="V31" i="13" s="1"/>
  <c r="Q35" i="13"/>
  <c r="V35" i="13" s="1"/>
  <c r="A67" i="4"/>
  <c r="A37" i="4"/>
  <c r="R71" i="4"/>
  <c r="Q19" i="13"/>
  <c r="A41" i="5"/>
  <c r="A71" i="5"/>
  <c r="P71" i="5"/>
  <c r="P41" i="5"/>
  <c r="B13" i="13"/>
  <c r="V10" i="13"/>
  <c r="Q14" i="13"/>
  <c r="R36" i="4"/>
  <c r="R68" i="4"/>
  <c r="Q16" i="13"/>
  <c r="P38" i="5"/>
  <c r="P68" i="5"/>
  <c r="AZ9" i="4" l="1"/>
  <c r="D7" i="13"/>
  <c r="A10" i="6"/>
  <c r="V11" i="13"/>
  <c r="B14" i="13"/>
  <c r="B19" i="13"/>
  <c r="V16" i="13"/>
  <c r="B17" i="13"/>
  <c r="V14" i="13"/>
  <c r="B22" i="13"/>
  <c r="V19" i="13"/>
  <c r="AZ10" i="4" l="1"/>
  <c r="A11" i="6"/>
  <c r="AZ11" i="4" l="1"/>
  <c r="A12" i="6"/>
  <c r="X29" i="13"/>
  <c r="AB57" i="5"/>
  <c r="X9" i="13" s="1"/>
  <c r="AZ12" i="4" l="1"/>
  <c r="A13" i="6"/>
  <c r="L57" i="5"/>
  <c r="X30" i="13" s="1"/>
  <c r="AA57" i="5"/>
  <c r="X10" i="13" s="1"/>
  <c r="M57" i="4"/>
  <c r="S29" i="13" s="1"/>
  <c r="AZ13" i="4" l="1"/>
  <c r="A14" i="6"/>
  <c r="Z57" i="5"/>
  <c r="X11" i="13" s="1"/>
  <c r="K57" i="5"/>
  <c r="X31" i="13" s="1"/>
  <c r="AD57" i="4"/>
  <c r="AZ14" i="4" l="1"/>
  <c r="A15" i="6"/>
  <c r="AC57" i="4"/>
  <c r="S10" i="13" s="1"/>
  <c r="S9" i="13"/>
  <c r="Y57" i="5"/>
  <c r="AZ15" i="4" l="1"/>
  <c r="X12" i="13"/>
  <c r="C14" i="6"/>
  <c r="A16" i="6"/>
  <c r="E15" i="6"/>
  <c r="C15" i="6"/>
  <c r="J57" i="5"/>
  <c r="X57" i="5"/>
  <c r="AZ16" i="4" l="1"/>
  <c r="X13" i="13"/>
  <c r="C13" i="6"/>
  <c r="X32" i="13"/>
  <c r="E14" i="6"/>
  <c r="A17" i="6"/>
  <c r="E16" i="6"/>
  <c r="C16" i="6"/>
  <c r="B16" i="6"/>
  <c r="I57" i="5"/>
  <c r="E13" i="6" s="1"/>
  <c r="W57" i="5"/>
  <c r="AZ17" i="4" l="1"/>
  <c r="X14" i="13"/>
  <c r="C12" i="6"/>
  <c r="E17" i="6"/>
  <c r="D17" i="6"/>
  <c r="C17" i="6"/>
  <c r="B17" i="6"/>
  <c r="V57" i="5"/>
  <c r="X33" i="13"/>
  <c r="H57" i="5"/>
  <c r="AZ18" i="4" l="1"/>
  <c r="X34" i="13"/>
  <c r="E12" i="6"/>
  <c r="U57" i="5"/>
  <c r="C11" i="6"/>
  <c r="X15" i="13"/>
  <c r="T57" i="5"/>
  <c r="G57" i="5"/>
  <c r="E11" i="6" s="1"/>
  <c r="AZ19" i="4" l="1"/>
  <c r="S57" i="5"/>
  <c r="C8" i="6" s="1"/>
  <c r="C9" i="6"/>
  <c r="X16" i="13"/>
  <c r="C10" i="6"/>
  <c r="X17" i="13"/>
  <c r="F57" i="5"/>
  <c r="E10" i="6" s="1"/>
  <c r="X35" i="13"/>
  <c r="X18" i="13"/>
  <c r="R57" i="5"/>
  <c r="C7" i="6" s="1"/>
  <c r="AZ20" i="4" l="1"/>
  <c r="E57" i="5"/>
  <c r="E9" i="6" s="1"/>
  <c r="X36" i="13"/>
  <c r="X19" i="13"/>
  <c r="Q57" i="5"/>
  <c r="AZ21" i="4" l="1"/>
  <c r="X20" i="13"/>
  <c r="C6" i="6"/>
  <c r="D57" i="5"/>
  <c r="E8" i="6" s="1"/>
  <c r="X37" i="13"/>
  <c r="AZ22" i="4" l="1"/>
  <c r="X38" i="13"/>
  <c r="C57" i="5"/>
  <c r="E7" i="6" s="1"/>
  <c r="AZ23" i="4" l="1"/>
  <c r="X39" i="13"/>
  <c r="B57" i="5"/>
  <c r="AZ24" i="4" l="1"/>
  <c r="X40" i="13"/>
  <c r="E6" i="6"/>
  <c r="AZ25" i="4" l="1"/>
  <c r="AZ26" i="4" l="1"/>
  <c r="AZ27" i="4" l="1"/>
  <c r="AZ28" i="4" l="1"/>
  <c r="AZ29" i="4" l="1"/>
  <c r="W20" i="13"/>
  <c r="Y20" i="13" s="1"/>
  <c r="R20" i="13"/>
  <c r="AZ30" i="4" l="1"/>
  <c r="W40" i="13"/>
  <c r="Y40" i="13" s="1"/>
  <c r="W19" i="13"/>
  <c r="Y19" i="13" s="1"/>
  <c r="D23" i="13"/>
  <c r="W39" i="13"/>
  <c r="Y39" i="13" s="1"/>
  <c r="R40" i="13"/>
  <c r="AZ31" i="4" l="1"/>
  <c r="W38" i="13"/>
  <c r="Y38" i="13" s="1"/>
  <c r="R39" i="13"/>
  <c r="W18" i="13"/>
  <c r="Y18" i="13" s="1"/>
  <c r="R19" i="13"/>
  <c r="E23" i="13"/>
  <c r="F23" i="13" s="1"/>
  <c r="AZ33" i="4" l="1"/>
  <c r="AZ32" i="4"/>
  <c r="W37" i="13"/>
  <c r="Y37" i="13" s="1"/>
  <c r="W17" i="13"/>
  <c r="Y17" i="13" s="1"/>
  <c r="E22" i="13"/>
  <c r="Q41" i="5"/>
  <c r="Q71" i="5" s="1"/>
  <c r="D22" i="13"/>
  <c r="B41" i="5"/>
  <c r="B71" i="5" s="1"/>
  <c r="AZ35" i="4" l="1"/>
  <c r="F22" i="13"/>
  <c r="C40" i="5"/>
  <c r="C71" i="5" s="1"/>
  <c r="B41" i="4"/>
  <c r="B71" i="4" s="1"/>
  <c r="Q40" i="5"/>
  <c r="R40" i="5"/>
  <c r="R71" i="5" s="1"/>
  <c r="D39" i="5"/>
  <c r="D71" i="5" s="1"/>
  <c r="R38" i="13"/>
  <c r="R18" i="13"/>
  <c r="S41" i="4"/>
  <c r="S71" i="4" l="1"/>
  <c r="B40" i="5"/>
  <c r="B70" i="5" s="1"/>
  <c r="R16" i="13"/>
  <c r="R17" i="13"/>
  <c r="D21" i="13"/>
  <c r="Q70" i="5"/>
  <c r="Q44" i="5"/>
  <c r="R36" i="13"/>
  <c r="W15" i="13"/>
  <c r="Y15" i="13" s="1"/>
  <c r="W36" i="13"/>
  <c r="Y36" i="13" s="1"/>
  <c r="W16" i="13"/>
  <c r="Y16" i="13" s="1"/>
  <c r="E21" i="13"/>
  <c r="C39" i="5"/>
  <c r="R37" i="13"/>
  <c r="W35" i="13"/>
  <c r="Y35" i="13" s="1"/>
  <c r="F37" i="5"/>
  <c r="F71" i="5" s="1"/>
  <c r="S39" i="5"/>
  <c r="S71" i="5" s="1"/>
  <c r="B44" i="5" l="1"/>
  <c r="E19" i="13"/>
  <c r="R39" i="5"/>
  <c r="D20" i="13"/>
  <c r="W34" i="13"/>
  <c r="Y34" i="13" s="1"/>
  <c r="E20" i="13"/>
  <c r="C70" i="5"/>
  <c r="C44" i="5"/>
  <c r="F21" i="13"/>
  <c r="T40" i="4"/>
  <c r="E38" i="5"/>
  <c r="E71" i="5" s="1"/>
  <c r="E38" i="4"/>
  <c r="E71" i="4" s="1"/>
  <c r="W14" i="13"/>
  <c r="Y14" i="13" s="1"/>
  <c r="C40" i="4"/>
  <c r="C71" i="4" s="1"/>
  <c r="D19" i="13"/>
  <c r="T71" i="4" l="1"/>
  <c r="F20" i="13"/>
  <c r="B40" i="4"/>
  <c r="B70" i="4" s="1"/>
  <c r="W33" i="13"/>
  <c r="Y33" i="13" s="1"/>
  <c r="S38" i="5"/>
  <c r="W13" i="13"/>
  <c r="Y13" i="13" s="1"/>
  <c r="R15" i="13"/>
  <c r="U37" i="5"/>
  <c r="U71" i="5" s="1"/>
  <c r="S40" i="4"/>
  <c r="V38" i="4"/>
  <c r="Q39" i="5"/>
  <c r="D71" i="4"/>
  <c r="E37" i="5"/>
  <c r="D37" i="5"/>
  <c r="F19" i="13"/>
  <c r="R35" i="13"/>
  <c r="T38" i="5"/>
  <c r="T71" i="5" s="1"/>
  <c r="T37" i="5"/>
  <c r="B39" i="5"/>
  <c r="R44" i="5"/>
  <c r="R70" i="5"/>
  <c r="V71" i="4" l="1"/>
  <c r="U71" i="4"/>
  <c r="B44" i="4"/>
  <c r="S37" i="5"/>
  <c r="V36" i="5"/>
  <c r="V71" i="5" s="1"/>
  <c r="S70" i="5"/>
  <c r="S44" i="5"/>
  <c r="W32" i="13"/>
  <c r="Y32" i="13" s="1"/>
  <c r="G36" i="5"/>
  <c r="G71" i="5" s="1"/>
  <c r="T38" i="4"/>
  <c r="Q69" i="5"/>
  <c r="Q45" i="5"/>
  <c r="D38" i="5"/>
  <c r="D45" i="5" s="1"/>
  <c r="D69" i="5"/>
  <c r="C70" i="4"/>
  <c r="C44" i="4"/>
  <c r="W12" i="13"/>
  <c r="Y12" i="13" s="1"/>
  <c r="B69" i="5"/>
  <c r="B45" i="5"/>
  <c r="E18" i="13"/>
  <c r="E70" i="5"/>
  <c r="E44" i="5"/>
  <c r="H35" i="5"/>
  <c r="H71" i="5" s="1"/>
  <c r="T70" i="5"/>
  <c r="T44" i="5"/>
  <c r="R34" i="13"/>
  <c r="R14" i="13"/>
  <c r="W37" i="4"/>
  <c r="D38" i="4"/>
  <c r="T39" i="4"/>
  <c r="U38" i="4"/>
  <c r="S70" i="4"/>
  <c r="S44" i="4"/>
  <c r="D18" i="13"/>
  <c r="W71" i="4" l="1"/>
  <c r="S45" i="5"/>
  <c r="S69" i="5"/>
  <c r="W35" i="5"/>
  <c r="W71" i="5" s="1"/>
  <c r="E17" i="13"/>
  <c r="C37" i="5"/>
  <c r="U70" i="4"/>
  <c r="U44" i="4"/>
  <c r="X34" i="5"/>
  <c r="C38" i="5"/>
  <c r="B38" i="5"/>
  <c r="D70" i="5"/>
  <c r="D44" i="5"/>
  <c r="S39" i="4"/>
  <c r="W11" i="13"/>
  <c r="Y11" i="13" s="1"/>
  <c r="R33" i="13"/>
  <c r="E36" i="5"/>
  <c r="T70" i="4"/>
  <c r="T44" i="4"/>
  <c r="R38" i="5"/>
  <c r="D17" i="13"/>
  <c r="F18" i="13"/>
  <c r="F36" i="5"/>
  <c r="U36" i="5"/>
  <c r="C38" i="4"/>
  <c r="B38" i="4"/>
  <c r="B49" i="4" s="1"/>
  <c r="W31" i="13"/>
  <c r="Y31" i="13" s="1"/>
  <c r="R13" i="13"/>
  <c r="D44" i="4"/>
  <c r="D70" i="4"/>
  <c r="F37" i="4"/>
  <c r="F71" i="4" s="1"/>
  <c r="T45" i="4"/>
  <c r="T69" i="4"/>
  <c r="R37" i="5"/>
  <c r="Y35" i="4"/>
  <c r="Y71" i="4" l="1"/>
  <c r="Q38" i="5"/>
  <c r="Q46" i="5" s="1"/>
  <c r="U37" i="4"/>
  <c r="F44" i="5"/>
  <c r="F70" i="5"/>
  <c r="G36" i="4"/>
  <c r="G71" i="4" s="1"/>
  <c r="R12" i="13"/>
  <c r="W34" i="5"/>
  <c r="D37" i="4"/>
  <c r="W30" i="13"/>
  <c r="Y30" i="13" s="1"/>
  <c r="E16" i="13"/>
  <c r="S69" i="4"/>
  <c r="S45" i="4"/>
  <c r="X36" i="4"/>
  <c r="E37" i="4"/>
  <c r="B46" i="5"/>
  <c r="B68" i="5"/>
  <c r="F17" i="13"/>
  <c r="R32" i="13"/>
  <c r="R31" i="13"/>
  <c r="W10" i="13"/>
  <c r="Y10" i="13" s="1"/>
  <c r="D16" i="13"/>
  <c r="I34" i="5"/>
  <c r="I71" i="5" s="1"/>
  <c r="C45" i="4"/>
  <c r="C69" i="4"/>
  <c r="U44" i="5"/>
  <c r="U70" i="5"/>
  <c r="G35" i="5"/>
  <c r="B69" i="4"/>
  <c r="B45" i="4"/>
  <c r="C69" i="5"/>
  <c r="C45" i="5"/>
  <c r="C68" i="5"/>
  <c r="C46" i="5"/>
  <c r="B68" i="4"/>
  <c r="B46" i="4"/>
  <c r="V37" i="4"/>
  <c r="R11" i="13"/>
  <c r="R68" i="5"/>
  <c r="R46" i="5"/>
  <c r="S38" i="4"/>
  <c r="V35" i="5"/>
  <c r="R69" i="5"/>
  <c r="R45" i="5"/>
  <c r="E69" i="5"/>
  <c r="E45" i="5"/>
  <c r="X71" i="5"/>
  <c r="X44" i="5"/>
  <c r="T36" i="5"/>
  <c r="B37" i="5"/>
  <c r="X35" i="4"/>
  <c r="X71" i="4" l="1"/>
  <c r="Q68" i="5"/>
  <c r="X70" i="4"/>
  <c r="X44" i="4"/>
  <c r="C25" i="13"/>
  <c r="S46" i="4"/>
  <c r="S68" i="4"/>
  <c r="S36" i="5"/>
  <c r="J33" i="5"/>
  <c r="J71" i="5" s="1"/>
  <c r="U45" i="4"/>
  <c r="U69" i="4"/>
  <c r="R30" i="13"/>
  <c r="C37" i="4"/>
  <c r="C49" i="4" s="1"/>
  <c r="E14" i="13"/>
  <c r="D69" i="4"/>
  <c r="D45" i="4"/>
  <c r="W44" i="5"/>
  <c r="W70" i="5"/>
  <c r="F36" i="4"/>
  <c r="W9" i="13"/>
  <c r="Y9" i="13" s="1"/>
  <c r="E36" i="4"/>
  <c r="T45" i="5"/>
  <c r="T69" i="5"/>
  <c r="W36" i="4"/>
  <c r="G44" i="5"/>
  <c r="G70" i="5"/>
  <c r="F35" i="5"/>
  <c r="E44" i="4"/>
  <c r="E70" i="4"/>
  <c r="G34" i="5"/>
  <c r="R10" i="13"/>
  <c r="D14" i="13"/>
  <c r="H34" i="5"/>
  <c r="V44" i="4"/>
  <c r="V70" i="4"/>
  <c r="H35" i="4"/>
  <c r="Q37" i="5"/>
  <c r="Y33" i="5"/>
  <c r="Y71" i="5" s="1"/>
  <c r="U35" i="5"/>
  <c r="Z34" i="4"/>
  <c r="D36" i="5"/>
  <c r="V36" i="4"/>
  <c r="AA33" i="4"/>
  <c r="E35" i="5"/>
  <c r="W29" i="13"/>
  <c r="Y29" i="13" s="1"/>
  <c r="B67" i="5"/>
  <c r="B48" i="5"/>
  <c r="B47" i="5"/>
  <c r="V44" i="5"/>
  <c r="V70" i="5"/>
  <c r="E15" i="13"/>
  <c r="F16" i="13"/>
  <c r="V34" i="5"/>
  <c r="D15" i="13"/>
  <c r="F34" i="5"/>
  <c r="H71" i="4" l="1"/>
  <c r="AA71" i="4"/>
  <c r="C36" i="5"/>
  <c r="C67" i="5" s="1"/>
  <c r="F68" i="5"/>
  <c r="F46" i="5"/>
  <c r="E69" i="4"/>
  <c r="E45" i="4"/>
  <c r="L31" i="5"/>
  <c r="L71" i="5" s="1"/>
  <c r="W33" i="5"/>
  <c r="V69" i="5"/>
  <c r="V45" i="5"/>
  <c r="F15" i="13"/>
  <c r="Z32" i="5"/>
  <c r="Z71" i="5" s="1"/>
  <c r="I34" i="4"/>
  <c r="V45" i="4"/>
  <c r="V69" i="4"/>
  <c r="F45" i="5"/>
  <c r="F69" i="5"/>
  <c r="T35" i="5"/>
  <c r="D36" i="4"/>
  <c r="D49" i="4" s="1"/>
  <c r="W28" i="13"/>
  <c r="Y28" i="13" s="1"/>
  <c r="U36" i="4"/>
  <c r="I33" i="5"/>
  <c r="D68" i="5"/>
  <c r="D46" i="5"/>
  <c r="Z71" i="4"/>
  <c r="Z44" i="4"/>
  <c r="D13" i="13"/>
  <c r="T10" i="13"/>
  <c r="G13" i="13" s="1"/>
  <c r="C46" i="4"/>
  <c r="C68" i="4"/>
  <c r="E13" i="13"/>
  <c r="R36" i="5"/>
  <c r="Y32" i="5"/>
  <c r="W8" i="13"/>
  <c r="Y8" i="13" s="1"/>
  <c r="Q48" i="5"/>
  <c r="Q67" i="5"/>
  <c r="Q47" i="5"/>
  <c r="H70" i="5"/>
  <c r="H44" i="5"/>
  <c r="W70" i="4"/>
  <c r="W44" i="4"/>
  <c r="F70" i="4"/>
  <c r="F44" i="4"/>
  <c r="F14" i="13"/>
  <c r="T37" i="4"/>
  <c r="K32" i="5"/>
  <c r="K71" i="5" s="1"/>
  <c r="X33" i="5"/>
  <c r="W35" i="4"/>
  <c r="E46" i="5"/>
  <c r="E68" i="5"/>
  <c r="U69" i="5"/>
  <c r="U45" i="5"/>
  <c r="G35" i="4"/>
  <c r="J33" i="4"/>
  <c r="J71" i="4" s="1"/>
  <c r="G45" i="5"/>
  <c r="G69" i="5"/>
  <c r="U34" i="5"/>
  <c r="S46" i="5"/>
  <c r="S68" i="5"/>
  <c r="I71" i="4" l="1"/>
  <c r="C47" i="5"/>
  <c r="C48" i="5"/>
  <c r="S37" i="4"/>
  <c r="Y33" i="4"/>
  <c r="I32" i="5"/>
  <c r="R29" i="13"/>
  <c r="D68" i="4"/>
  <c r="D46" i="4"/>
  <c r="W69" i="4"/>
  <c r="W45" i="4"/>
  <c r="F35" i="4"/>
  <c r="F13" i="13"/>
  <c r="I13" i="13"/>
  <c r="K13" i="13"/>
  <c r="U68" i="4"/>
  <c r="U46" i="4"/>
  <c r="R9" i="13"/>
  <c r="V35" i="4"/>
  <c r="V33" i="5"/>
  <c r="R8" i="13"/>
  <c r="G44" i="4"/>
  <c r="G70" i="4"/>
  <c r="B37" i="4"/>
  <c r="AB32" i="4"/>
  <c r="I70" i="5"/>
  <c r="I44" i="5"/>
  <c r="D35" i="5"/>
  <c r="S35" i="5"/>
  <c r="J32" i="5"/>
  <c r="J32" i="4"/>
  <c r="U68" i="5"/>
  <c r="U46" i="5"/>
  <c r="X70" i="5"/>
  <c r="X45" i="5"/>
  <c r="T68" i="4"/>
  <c r="T46" i="4"/>
  <c r="Y70" i="5"/>
  <c r="Y44" i="5"/>
  <c r="R67" i="5"/>
  <c r="R47" i="5"/>
  <c r="R48" i="5"/>
  <c r="T36" i="4"/>
  <c r="T49" i="4" s="1"/>
  <c r="U19" i="4" s="1"/>
  <c r="W69" i="5"/>
  <c r="W45" i="5"/>
  <c r="G34" i="4"/>
  <c r="AB30" i="5"/>
  <c r="Y34" i="4"/>
  <c r="K32" i="4"/>
  <c r="I33" i="4"/>
  <c r="H34" i="4"/>
  <c r="Z33" i="4"/>
  <c r="T68" i="5"/>
  <c r="T46" i="5"/>
  <c r="Z31" i="5"/>
  <c r="AA31" i="5"/>
  <c r="AA71" i="5" s="1"/>
  <c r="H33" i="5"/>
  <c r="G33" i="5"/>
  <c r="K71" i="4" l="1"/>
  <c r="K49" i="4"/>
  <c r="S67" i="4"/>
  <c r="S49" i="4"/>
  <c r="T20" i="4" s="1"/>
  <c r="U20" i="4" s="1"/>
  <c r="AB71" i="4"/>
  <c r="S47" i="4"/>
  <c r="S48" i="4"/>
  <c r="M13" i="13"/>
  <c r="C36" i="4"/>
  <c r="C47" i="4" s="1"/>
  <c r="G33" i="4"/>
  <c r="I44" i="4"/>
  <c r="I70" i="4"/>
  <c r="T34" i="5"/>
  <c r="H33" i="4"/>
  <c r="T48" i="4"/>
  <c r="T47" i="4"/>
  <c r="T67" i="4"/>
  <c r="AA32" i="4"/>
  <c r="X34" i="4"/>
  <c r="I69" i="5"/>
  <c r="I45" i="5"/>
  <c r="D11" i="13"/>
  <c r="T8" i="13"/>
  <c r="G11" i="13" s="1"/>
  <c r="U35" i="4"/>
  <c r="U49" i="4" s="1"/>
  <c r="L31" i="4"/>
  <c r="L71" i="4" s="1"/>
  <c r="G46" i="5"/>
  <c r="G68" i="5"/>
  <c r="Z70" i="5"/>
  <c r="Z44" i="5"/>
  <c r="J44" i="4"/>
  <c r="J70" i="4"/>
  <c r="Y70" i="4"/>
  <c r="Y44" i="4"/>
  <c r="AB71" i="5"/>
  <c r="AB48" i="5"/>
  <c r="U33" i="5"/>
  <c r="D12" i="13"/>
  <c r="T9" i="13"/>
  <c r="G12" i="13" s="1"/>
  <c r="E12" i="13"/>
  <c r="T29" i="13"/>
  <c r="H12" i="13" s="1"/>
  <c r="Y45" i="4"/>
  <c r="Y69" i="4"/>
  <c r="AC31" i="4"/>
  <c r="AC71" i="4" s="1"/>
  <c r="H70" i="4"/>
  <c r="H44" i="4"/>
  <c r="X32" i="5"/>
  <c r="E35" i="4"/>
  <c r="E49" i="4" s="1"/>
  <c r="D35" i="4"/>
  <c r="K31" i="5"/>
  <c r="E34" i="5"/>
  <c r="M30" i="5"/>
  <c r="J70" i="5"/>
  <c r="J44" i="5"/>
  <c r="S67" i="5"/>
  <c r="S47" i="5"/>
  <c r="S48" i="5"/>
  <c r="B48" i="4"/>
  <c r="B47" i="4"/>
  <c r="B67" i="4"/>
  <c r="V46" i="4"/>
  <c r="V68" i="4"/>
  <c r="F69" i="4"/>
  <c r="F45" i="4"/>
  <c r="H69" i="5"/>
  <c r="H45" i="5"/>
  <c r="Z70" i="4"/>
  <c r="Z45" i="4"/>
  <c r="G69" i="4"/>
  <c r="G45" i="4"/>
  <c r="D47" i="5"/>
  <c r="D67" i="5"/>
  <c r="D48" i="5"/>
  <c r="V46" i="5"/>
  <c r="V68" i="5"/>
  <c r="V18" i="4" l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V20" i="4"/>
  <c r="W20" i="4" s="1"/>
  <c r="X20" i="4" s="1"/>
  <c r="Y20" i="4" s="1"/>
  <c r="Z20" i="4" s="1"/>
  <c r="AA20" i="4" s="1"/>
  <c r="AB20" i="4" s="1"/>
  <c r="AC20" i="4" s="1"/>
  <c r="AD20" i="4" s="1"/>
  <c r="AE20" i="4" s="1"/>
  <c r="V19" i="4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F12" i="13"/>
  <c r="C67" i="4"/>
  <c r="F33" i="5"/>
  <c r="F48" i="5" s="1"/>
  <c r="C48" i="4"/>
  <c r="H32" i="4"/>
  <c r="H49" i="4" s="1"/>
  <c r="AD30" i="4"/>
  <c r="K12" i="13"/>
  <c r="I12" i="13"/>
  <c r="U48" i="5"/>
  <c r="U47" i="5"/>
  <c r="U67" i="5"/>
  <c r="AB46" i="5"/>
  <c r="AB54" i="5" s="1"/>
  <c r="AB45" i="5"/>
  <c r="AB53" i="5" s="1"/>
  <c r="AB47" i="5"/>
  <c r="AB55" i="5" s="1"/>
  <c r="AB44" i="5"/>
  <c r="AB52" i="5" s="1"/>
  <c r="AB56" i="5"/>
  <c r="AA30" i="5"/>
  <c r="W34" i="4"/>
  <c r="I11" i="13"/>
  <c r="X69" i="4"/>
  <c r="X45" i="4"/>
  <c r="T48" i="5"/>
  <c r="T47" i="5"/>
  <c r="T67" i="5"/>
  <c r="R28" i="13"/>
  <c r="Y31" i="5"/>
  <c r="K70" i="5"/>
  <c r="K44" i="5"/>
  <c r="D67" i="4"/>
  <c r="D47" i="4"/>
  <c r="D48" i="4"/>
  <c r="X46" i="5"/>
  <c r="X69" i="5"/>
  <c r="J31" i="5"/>
  <c r="H32" i="5"/>
  <c r="F34" i="4"/>
  <c r="F49" i="4" s="1"/>
  <c r="D25" i="13"/>
  <c r="G46" i="4"/>
  <c r="G68" i="4"/>
  <c r="I31" i="5"/>
  <c r="M71" i="5"/>
  <c r="M48" i="5"/>
  <c r="W32" i="5"/>
  <c r="Z32" i="4"/>
  <c r="AA44" i="4"/>
  <c r="AA70" i="4"/>
  <c r="L30" i="5"/>
  <c r="E67" i="5"/>
  <c r="E48" i="5"/>
  <c r="E47" i="5"/>
  <c r="E46" i="4"/>
  <c r="E68" i="4"/>
  <c r="W33" i="4"/>
  <c r="X33" i="4"/>
  <c r="L12" i="13"/>
  <c r="J12" i="13"/>
  <c r="K31" i="4"/>
  <c r="U67" i="4"/>
  <c r="U47" i="4"/>
  <c r="U48" i="4"/>
  <c r="I32" i="4"/>
  <c r="H45" i="4"/>
  <c r="H69" i="4"/>
  <c r="N12" i="13" l="1"/>
  <c r="M12" i="13"/>
  <c r="W49" i="4"/>
  <c r="F67" i="5"/>
  <c r="F47" i="5"/>
  <c r="E34" i="4"/>
  <c r="E67" i="4" s="1"/>
  <c r="W47" i="4"/>
  <c r="W48" i="4"/>
  <c r="W67" i="4"/>
  <c r="AA31" i="4"/>
  <c r="W68" i="5"/>
  <c r="W46" i="5"/>
  <c r="I68" i="5"/>
  <c r="I46" i="5"/>
  <c r="H46" i="5"/>
  <c r="H68" i="5"/>
  <c r="Y32" i="4"/>
  <c r="Y30" i="5"/>
  <c r="K70" i="4"/>
  <c r="K44" i="4"/>
  <c r="L70" i="5"/>
  <c r="L44" i="5"/>
  <c r="L48" i="5"/>
  <c r="Z69" i="4"/>
  <c r="Z46" i="4"/>
  <c r="M46" i="5"/>
  <c r="M54" i="5" s="1"/>
  <c r="M56" i="5"/>
  <c r="M44" i="5"/>
  <c r="M52" i="5" s="1"/>
  <c r="M45" i="5"/>
  <c r="M53" i="5" s="1"/>
  <c r="M47" i="5"/>
  <c r="M55" i="5" s="1"/>
  <c r="H68" i="4"/>
  <c r="H46" i="4"/>
  <c r="Z30" i="5"/>
  <c r="F46" i="4"/>
  <c r="F68" i="4"/>
  <c r="Y69" i="5"/>
  <c r="Y45" i="5"/>
  <c r="V34" i="4"/>
  <c r="V49" i="4" s="1"/>
  <c r="AA70" i="5"/>
  <c r="AA44" i="5"/>
  <c r="AA52" i="5" s="1"/>
  <c r="Z52" i="5" s="1"/>
  <c r="Y52" i="5" s="1"/>
  <c r="X52" i="5" s="1"/>
  <c r="W52" i="5" s="1"/>
  <c r="V52" i="5" s="1"/>
  <c r="U52" i="5" s="1"/>
  <c r="T52" i="5" s="1"/>
  <c r="S52" i="5" s="1"/>
  <c r="R52" i="5" s="1"/>
  <c r="Q52" i="5" s="1"/>
  <c r="AA48" i="5"/>
  <c r="AD48" i="4"/>
  <c r="AD45" i="4" s="1"/>
  <c r="AD71" i="4"/>
  <c r="X31" i="5"/>
  <c r="W31" i="5"/>
  <c r="V32" i="5"/>
  <c r="H31" i="5"/>
  <c r="J69" i="5"/>
  <c r="J45" i="5"/>
  <c r="F33" i="4"/>
  <c r="E11" i="13"/>
  <c r="T28" i="13"/>
  <c r="H11" i="13" s="1"/>
  <c r="K30" i="5"/>
  <c r="J30" i="5"/>
  <c r="G32" i="4"/>
  <c r="G49" i="4" s="1"/>
  <c r="I45" i="4"/>
  <c r="I69" i="4"/>
  <c r="X68" i="4"/>
  <c r="X46" i="4"/>
  <c r="M30" i="4"/>
  <c r="L30" i="4"/>
  <c r="L49" i="4" s="1"/>
  <c r="L57" i="4" s="1"/>
  <c r="G32" i="5"/>
  <c r="W46" i="4"/>
  <c r="W68" i="4"/>
  <c r="S30" i="13" l="1"/>
  <c r="T30" i="13" s="1"/>
  <c r="H13" i="13" s="1"/>
  <c r="D16" i="6"/>
  <c r="K57" i="4"/>
  <c r="K30" i="4"/>
  <c r="E48" i="4"/>
  <c r="E47" i="4"/>
  <c r="L52" i="5"/>
  <c r="K52" i="5" s="1"/>
  <c r="J52" i="5" s="1"/>
  <c r="I52" i="5" s="1"/>
  <c r="H52" i="5" s="1"/>
  <c r="G52" i="5" s="1"/>
  <c r="F52" i="5" s="1"/>
  <c r="E52" i="5" s="1"/>
  <c r="D52" i="5" s="1"/>
  <c r="C52" i="5" s="1"/>
  <c r="B52" i="5" s="1"/>
  <c r="L48" i="4"/>
  <c r="L44" i="4"/>
  <c r="L70" i="4"/>
  <c r="J68" i="5"/>
  <c r="J46" i="5"/>
  <c r="J48" i="5"/>
  <c r="J47" i="5" s="1"/>
  <c r="L11" i="13"/>
  <c r="J11" i="13"/>
  <c r="AD53" i="4"/>
  <c r="AD56" i="4"/>
  <c r="AD47" i="4"/>
  <c r="AD55" i="4" s="1"/>
  <c r="AD44" i="4"/>
  <c r="AD52" i="4" s="1"/>
  <c r="AD46" i="4"/>
  <c r="AD54" i="4" s="1"/>
  <c r="Z69" i="5"/>
  <c r="Z48" i="5"/>
  <c r="Z45" i="5"/>
  <c r="Y68" i="5"/>
  <c r="Y48" i="5"/>
  <c r="Y47" i="5" s="1"/>
  <c r="Y46" i="5"/>
  <c r="Z31" i="4"/>
  <c r="E25" i="13"/>
  <c r="F11" i="13"/>
  <c r="F25" i="13" s="1"/>
  <c r="K11" i="13"/>
  <c r="W67" i="5"/>
  <c r="W48" i="5"/>
  <c r="W47" i="5"/>
  <c r="V47" i="4"/>
  <c r="V48" i="4"/>
  <c r="V67" i="4"/>
  <c r="L56" i="5"/>
  <c r="AC44" i="4"/>
  <c r="AC70" i="4"/>
  <c r="AC48" i="4"/>
  <c r="Y46" i="4"/>
  <c r="Y68" i="4"/>
  <c r="AB70" i="4"/>
  <c r="AB44" i="4"/>
  <c r="J31" i="4"/>
  <c r="J49" i="4" s="1"/>
  <c r="J57" i="4" s="1"/>
  <c r="M48" i="4"/>
  <c r="M71" i="4"/>
  <c r="G48" i="4"/>
  <c r="G47" i="4"/>
  <c r="G67" i="4"/>
  <c r="K69" i="5"/>
  <c r="K45" i="5"/>
  <c r="K48" i="5"/>
  <c r="F47" i="4"/>
  <c r="F67" i="4"/>
  <c r="F48" i="4"/>
  <c r="V67" i="5"/>
  <c r="V48" i="5"/>
  <c r="V47" i="5"/>
  <c r="AA47" i="5"/>
  <c r="AA55" i="5" s="1"/>
  <c r="AA45" i="5"/>
  <c r="AA53" i="5" s="1"/>
  <c r="AA46" i="5"/>
  <c r="AA54" i="5" s="1"/>
  <c r="L47" i="5"/>
  <c r="L55" i="5" s="1"/>
  <c r="L46" i="5"/>
  <c r="L54" i="5" s="1"/>
  <c r="L45" i="5"/>
  <c r="L53" i="5" s="1"/>
  <c r="AA56" i="5"/>
  <c r="AA30" i="4"/>
  <c r="AA49" i="4" s="1"/>
  <c r="G47" i="5"/>
  <c r="G48" i="5"/>
  <c r="G67" i="5"/>
  <c r="H48" i="5"/>
  <c r="H47" i="5"/>
  <c r="H67" i="5"/>
  <c r="X68" i="5"/>
  <c r="AB30" i="4"/>
  <c r="AB49" i="4" s="1"/>
  <c r="AB57" i="4" s="1"/>
  <c r="X32" i="4"/>
  <c r="X49" i="4" s="1"/>
  <c r="AA69" i="4"/>
  <c r="AA45" i="4"/>
  <c r="D14" i="6" l="1"/>
  <c r="S32" i="13"/>
  <c r="T32" i="13" s="1"/>
  <c r="H15" i="13" s="1"/>
  <c r="S31" i="13"/>
  <c r="T31" i="13" s="1"/>
  <c r="H14" i="13" s="1"/>
  <c r="D15" i="6"/>
  <c r="L13" i="13"/>
  <c r="N13" i="13" s="1"/>
  <c r="J13" i="13"/>
  <c r="AA57" i="4"/>
  <c r="S12" i="13" s="1"/>
  <c r="T12" i="13" s="1"/>
  <c r="G15" i="13" s="1"/>
  <c r="B15" i="6"/>
  <c r="S11" i="13"/>
  <c r="T11" i="13" s="1"/>
  <c r="G14" i="13" s="1"/>
  <c r="K53" i="5"/>
  <c r="J53" i="5" s="1"/>
  <c r="I53" i="5" s="1"/>
  <c r="H53" i="5" s="1"/>
  <c r="G53" i="5" s="1"/>
  <c r="F53" i="5" s="1"/>
  <c r="E53" i="5" s="1"/>
  <c r="D53" i="5" s="1"/>
  <c r="C53" i="5" s="1"/>
  <c r="B53" i="5" s="1"/>
  <c r="Z53" i="5"/>
  <c r="Y53" i="5" s="1"/>
  <c r="X53" i="5" s="1"/>
  <c r="W53" i="5" s="1"/>
  <c r="V53" i="5" s="1"/>
  <c r="U53" i="5" s="1"/>
  <c r="T53" i="5" s="1"/>
  <c r="S53" i="5" s="1"/>
  <c r="R53" i="5" s="1"/>
  <c r="Q53" i="5" s="1"/>
  <c r="Z56" i="5"/>
  <c r="Y56" i="5" s="1"/>
  <c r="K56" i="5"/>
  <c r="J56" i="5" s="1"/>
  <c r="Z68" i="4"/>
  <c r="Z46" i="5"/>
  <c r="Z54" i="5" s="1"/>
  <c r="Z47" i="5"/>
  <c r="Z55" i="5" s="1"/>
  <c r="Y55" i="5" s="1"/>
  <c r="L47" i="4"/>
  <c r="L46" i="4"/>
  <c r="L45" i="4"/>
  <c r="I31" i="4"/>
  <c r="X67" i="4"/>
  <c r="X47" i="4"/>
  <c r="X48" i="4"/>
  <c r="AB45" i="4"/>
  <c r="AB69" i="4"/>
  <c r="AB48" i="4"/>
  <c r="X30" i="5"/>
  <c r="X47" i="5" s="1"/>
  <c r="Z30" i="4"/>
  <c r="Z47" i="4" s="1"/>
  <c r="M11" i="13"/>
  <c r="I30" i="5"/>
  <c r="AC52" i="4"/>
  <c r="AB52" i="4" s="1"/>
  <c r="AA52" i="4" s="1"/>
  <c r="Z52" i="4" s="1"/>
  <c r="Y52" i="4" s="1"/>
  <c r="X52" i="4" s="1"/>
  <c r="W52" i="4" s="1"/>
  <c r="V52" i="4" s="1"/>
  <c r="U52" i="4" s="1"/>
  <c r="T52" i="4" s="1"/>
  <c r="S52" i="4" s="1"/>
  <c r="N11" i="13"/>
  <c r="M46" i="4"/>
  <c r="M54" i="4" s="1"/>
  <c r="M56" i="4"/>
  <c r="L56" i="4" s="1"/>
  <c r="M47" i="4"/>
  <c r="M55" i="4" s="1"/>
  <c r="M44" i="4"/>
  <c r="M52" i="4" s="1"/>
  <c r="L52" i="4" s="1"/>
  <c r="K52" i="4" s="1"/>
  <c r="J52" i="4" s="1"/>
  <c r="I52" i="4" s="1"/>
  <c r="H52" i="4" s="1"/>
  <c r="G52" i="4" s="1"/>
  <c r="F52" i="4" s="1"/>
  <c r="E52" i="4" s="1"/>
  <c r="D52" i="4" s="1"/>
  <c r="C52" i="4" s="1"/>
  <c r="B52" i="4" s="1"/>
  <c r="M45" i="4"/>
  <c r="M53" i="4" s="1"/>
  <c r="AC46" i="4"/>
  <c r="AC54" i="4" s="1"/>
  <c r="AC47" i="4"/>
  <c r="AC55" i="4" s="1"/>
  <c r="AC45" i="4"/>
  <c r="AC53" i="4" s="1"/>
  <c r="Y31" i="4"/>
  <c r="Y49" i="4" s="1"/>
  <c r="K69" i="4"/>
  <c r="K45" i="4"/>
  <c r="K48" i="4"/>
  <c r="AA68" i="4"/>
  <c r="AA48" i="4"/>
  <c r="AA47" i="4" s="1"/>
  <c r="AA46" i="4"/>
  <c r="K47" i="5"/>
  <c r="K55" i="5" s="1"/>
  <c r="J55" i="5" s="1"/>
  <c r="K46" i="5"/>
  <c r="K54" i="5" s="1"/>
  <c r="J69" i="4"/>
  <c r="J45" i="4"/>
  <c r="J30" i="4"/>
  <c r="AC56" i="4"/>
  <c r="B14" i="6" l="1"/>
  <c r="L14" i="13"/>
  <c r="J14" i="13"/>
  <c r="J15" i="13"/>
  <c r="L15" i="13"/>
  <c r="N15" i="13" s="1"/>
  <c r="Z49" i="4"/>
  <c r="Z57" i="4" s="1"/>
  <c r="K14" i="13"/>
  <c r="I14" i="13"/>
  <c r="K15" i="13"/>
  <c r="M15" i="13" s="1"/>
  <c r="I15" i="13"/>
  <c r="X55" i="5"/>
  <c r="W55" i="5" s="1"/>
  <c r="V55" i="5" s="1"/>
  <c r="U55" i="5" s="1"/>
  <c r="T55" i="5" s="1"/>
  <c r="S55" i="5" s="1"/>
  <c r="R55" i="5" s="1"/>
  <c r="Q55" i="5" s="1"/>
  <c r="AB53" i="4"/>
  <c r="AA53" i="4" s="1"/>
  <c r="Z53" i="4" s="1"/>
  <c r="Y53" i="4" s="1"/>
  <c r="X53" i="4" s="1"/>
  <c r="W53" i="4" s="1"/>
  <c r="V53" i="4" s="1"/>
  <c r="U53" i="4" s="1"/>
  <c r="T53" i="4" s="1"/>
  <c r="S53" i="4" s="1"/>
  <c r="AB56" i="4"/>
  <c r="AA56" i="4" s="1"/>
  <c r="J54" i="5"/>
  <c r="I30" i="4"/>
  <c r="H31" i="4"/>
  <c r="H67" i="4" s="1"/>
  <c r="K46" i="4"/>
  <c r="K47" i="4"/>
  <c r="K56" i="4"/>
  <c r="L53" i="4"/>
  <c r="K53" i="4" s="1"/>
  <c r="J53" i="4" s="1"/>
  <c r="I53" i="4" s="1"/>
  <c r="H53" i="4" s="1"/>
  <c r="G53" i="4" s="1"/>
  <c r="F53" i="4" s="1"/>
  <c r="E53" i="4" s="1"/>
  <c r="D53" i="4" s="1"/>
  <c r="C53" i="4" s="1"/>
  <c r="B53" i="4" s="1"/>
  <c r="L54" i="4"/>
  <c r="Y47" i="4"/>
  <c r="Y48" i="4"/>
  <c r="Y67" i="4"/>
  <c r="Z48" i="4"/>
  <c r="Z67" i="4"/>
  <c r="L55" i="4"/>
  <c r="J46" i="4"/>
  <c r="J48" i="4"/>
  <c r="J47" i="4" s="1"/>
  <c r="J68" i="4"/>
  <c r="I67" i="5"/>
  <c r="I48" i="5"/>
  <c r="I56" i="5" s="1"/>
  <c r="H56" i="5" s="1"/>
  <c r="G56" i="5" s="1"/>
  <c r="F56" i="5" s="1"/>
  <c r="E56" i="5" s="1"/>
  <c r="D56" i="5" s="1"/>
  <c r="C56" i="5" s="1"/>
  <c r="B56" i="5" s="1"/>
  <c r="I47" i="5"/>
  <c r="I55" i="5" s="1"/>
  <c r="H55" i="5" s="1"/>
  <c r="G55" i="5" s="1"/>
  <c r="F55" i="5" s="1"/>
  <c r="E55" i="5" s="1"/>
  <c r="D55" i="5" s="1"/>
  <c r="C55" i="5" s="1"/>
  <c r="B55" i="5" s="1"/>
  <c r="X48" i="5"/>
  <c r="X56" i="5" s="1"/>
  <c r="W56" i="5" s="1"/>
  <c r="V56" i="5" s="1"/>
  <c r="U56" i="5" s="1"/>
  <c r="T56" i="5" s="1"/>
  <c r="S56" i="5" s="1"/>
  <c r="R56" i="5" s="1"/>
  <c r="Q56" i="5" s="1"/>
  <c r="X67" i="5"/>
  <c r="AB47" i="4"/>
  <c r="AB55" i="4" s="1"/>
  <c r="AA55" i="4" s="1"/>
  <c r="Z55" i="4" s="1"/>
  <c r="AB46" i="4"/>
  <c r="AB54" i="4" s="1"/>
  <c r="I46" i="4"/>
  <c r="I68" i="4"/>
  <c r="Y54" i="5"/>
  <c r="I47" i="4" l="1"/>
  <c r="I49" i="4"/>
  <c r="I57" i="4" s="1"/>
  <c r="N14" i="13"/>
  <c r="M14" i="13"/>
  <c r="Y57" i="4"/>
  <c r="S13" i="13"/>
  <c r="T13" i="13" s="1"/>
  <c r="G16" i="13" s="1"/>
  <c r="B13" i="6"/>
  <c r="Y55" i="4"/>
  <c r="X55" i="4" s="1"/>
  <c r="W55" i="4" s="1"/>
  <c r="V55" i="4" s="1"/>
  <c r="U55" i="4" s="1"/>
  <c r="T55" i="4" s="1"/>
  <c r="S55" i="4" s="1"/>
  <c r="I54" i="5"/>
  <c r="H47" i="4"/>
  <c r="I67" i="4"/>
  <c r="Z56" i="4"/>
  <c r="Y56" i="4" s="1"/>
  <c r="X56" i="4" s="1"/>
  <c r="W56" i="4" s="1"/>
  <c r="V56" i="4" s="1"/>
  <c r="U56" i="4" s="1"/>
  <c r="T56" i="4" s="1"/>
  <c r="S56" i="4" s="1"/>
  <c r="H48" i="4"/>
  <c r="I48" i="4"/>
  <c r="X54" i="5"/>
  <c r="AA54" i="4"/>
  <c r="K55" i="4"/>
  <c r="J55" i="4" s="1"/>
  <c r="I55" i="4" s="1"/>
  <c r="K54" i="4"/>
  <c r="J56" i="4"/>
  <c r="D13" i="6" l="1"/>
  <c r="S33" i="13"/>
  <c r="T33" i="13" s="1"/>
  <c r="H16" i="13" s="1"/>
  <c r="H57" i="4"/>
  <c r="X57" i="4"/>
  <c r="B12" i="6"/>
  <c r="S14" i="13"/>
  <c r="T14" i="13" s="1"/>
  <c r="G17" i="13" s="1"/>
  <c r="I16" i="13"/>
  <c r="K16" i="13"/>
  <c r="H54" i="5"/>
  <c r="G54" i="5" s="1"/>
  <c r="H55" i="4"/>
  <c r="G55" i="4" s="1"/>
  <c r="F55" i="4" s="1"/>
  <c r="E55" i="4" s="1"/>
  <c r="D55" i="4" s="1"/>
  <c r="C55" i="4" s="1"/>
  <c r="B55" i="4" s="1"/>
  <c r="I56" i="4"/>
  <c r="H56" i="4" s="1"/>
  <c r="G56" i="4" s="1"/>
  <c r="F56" i="4" s="1"/>
  <c r="E56" i="4" s="1"/>
  <c r="D56" i="4" s="1"/>
  <c r="C56" i="4" s="1"/>
  <c r="B56" i="4" s="1"/>
  <c r="J54" i="4"/>
  <c r="W54" i="5"/>
  <c r="Z54" i="4"/>
  <c r="J16" i="13" l="1"/>
  <c r="L16" i="13"/>
  <c r="D12" i="6"/>
  <c r="S34" i="13"/>
  <c r="T34" i="13" s="1"/>
  <c r="H17" i="13" s="1"/>
  <c r="G57" i="4"/>
  <c r="I17" i="13"/>
  <c r="K17" i="13"/>
  <c r="M17" i="13" s="1"/>
  <c r="M16" i="13"/>
  <c r="B11" i="6"/>
  <c r="W57" i="4"/>
  <c r="S15" i="13"/>
  <c r="T15" i="13" s="1"/>
  <c r="G18" i="13" s="1"/>
  <c r="V54" i="5"/>
  <c r="F54" i="5"/>
  <c r="Y54" i="4"/>
  <c r="I54" i="4"/>
  <c r="D11" i="6" l="1"/>
  <c r="S35" i="13"/>
  <c r="T35" i="13" s="1"/>
  <c r="H18" i="13" s="1"/>
  <c r="F57" i="4"/>
  <c r="J17" i="13"/>
  <c r="L17" i="13"/>
  <c r="N17" i="13" s="1"/>
  <c r="N16" i="13"/>
  <c r="B10" i="6"/>
  <c r="S16" i="13"/>
  <c r="T16" i="13" s="1"/>
  <c r="G19" i="13" s="1"/>
  <c r="V57" i="4"/>
  <c r="I18" i="13"/>
  <c r="K18" i="13"/>
  <c r="M18" i="13" s="1"/>
  <c r="H54" i="4"/>
  <c r="E54" i="5"/>
  <c r="X54" i="4"/>
  <c r="U54" i="5"/>
  <c r="D10" i="6" l="1"/>
  <c r="S36" i="13"/>
  <c r="T36" i="13" s="1"/>
  <c r="H19" i="13" s="1"/>
  <c r="E57" i="4"/>
  <c r="L18" i="13"/>
  <c r="N18" i="13" s="1"/>
  <c r="J18" i="13"/>
  <c r="I19" i="13"/>
  <c r="K19" i="13"/>
  <c r="M19" i="13" s="1"/>
  <c r="B9" i="6"/>
  <c r="S17" i="13"/>
  <c r="T17" i="13" s="1"/>
  <c r="G20" i="13" s="1"/>
  <c r="U57" i="4"/>
  <c r="T54" i="5"/>
  <c r="D54" i="5"/>
  <c r="W54" i="4"/>
  <c r="G54" i="4"/>
  <c r="D9" i="6" l="1"/>
  <c r="S37" i="13"/>
  <c r="T37" i="13" s="1"/>
  <c r="H20" i="13" s="1"/>
  <c r="D57" i="4"/>
  <c r="L19" i="13"/>
  <c r="J19" i="13"/>
  <c r="B8" i="6"/>
  <c r="T57" i="4"/>
  <c r="S18" i="13"/>
  <c r="T18" i="13" s="1"/>
  <c r="G21" i="13" s="1"/>
  <c r="K20" i="13"/>
  <c r="M20" i="13" s="1"/>
  <c r="I20" i="13"/>
  <c r="F54" i="4"/>
  <c r="C54" i="5"/>
  <c r="V54" i="4"/>
  <c r="S54" i="5"/>
  <c r="N19" i="13" l="1"/>
  <c r="L20" i="13"/>
  <c r="N20" i="13" s="1"/>
  <c r="J20" i="13"/>
  <c r="D8" i="6"/>
  <c r="S38" i="13"/>
  <c r="T38" i="13" s="1"/>
  <c r="H21" i="13" s="1"/>
  <c r="C57" i="4"/>
  <c r="I21" i="13"/>
  <c r="K21" i="13"/>
  <c r="M21" i="13" s="1"/>
  <c r="B7" i="6"/>
  <c r="S57" i="4"/>
  <c r="S19" i="13"/>
  <c r="T19" i="13" s="1"/>
  <c r="G22" i="13" s="1"/>
  <c r="R54" i="5"/>
  <c r="B54" i="5"/>
  <c r="U54" i="4"/>
  <c r="E54" i="4"/>
  <c r="D7" i="6" l="1"/>
  <c r="S39" i="13"/>
  <c r="T39" i="13" s="1"/>
  <c r="H22" i="13" s="1"/>
  <c r="B57" i="4"/>
  <c r="L21" i="13"/>
  <c r="N21" i="13" s="1"/>
  <c r="J21" i="13"/>
  <c r="S20" i="13"/>
  <c r="T20" i="13" s="1"/>
  <c r="G23" i="13" s="1"/>
  <c r="B6" i="6"/>
  <c r="K22" i="13"/>
  <c r="M22" i="13" s="1"/>
  <c r="I22" i="13"/>
  <c r="D54" i="4"/>
  <c r="T54" i="4"/>
  <c r="Q54" i="5"/>
  <c r="S40" i="13" l="1"/>
  <c r="T40" i="13" s="1"/>
  <c r="H23" i="13" s="1"/>
  <c r="D6" i="6"/>
  <c r="J22" i="13"/>
  <c r="L22" i="13"/>
  <c r="N22" i="13" s="1"/>
  <c r="I23" i="13"/>
  <c r="K23" i="13"/>
  <c r="G25" i="13"/>
  <c r="I25" i="13" s="1"/>
  <c r="S54" i="4"/>
  <c r="C54" i="4"/>
  <c r="J23" i="13" l="1"/>
  <c r="L23" i="13"/>
  <c r="H25" i="13"/>
  <c r="J25" i="13" s="1"/>
  <c r="M23" i="13"/>
  <c r="M25" i="13" s="1"/>
  <c r="K25" i="13"/>
  <c r="B54" i="4"/>
  <c r="N23" i="13" l="1"/>
  <c r="N25" i="13" s="1"/>
  <c r="L25" i="13"/>
</calcChain>
</file>

<file path=xl/sharedStrings.xml><?xml version="1.0" encoding="utf-8"?>
<sst xmlns="http://schemas.openxmlformats.org/spreadsheetml/2006/main" count="445" uniqueCount="122">
  <si>
    <t>Workers Compensation Reserving Case Study</t>
  </si>
  <si>
    <t>A</t>
  </si>
  <si>
    <t>Introduction to Reserving (Loss Development)</t>
  </si>
  <si>
    <t>Step</t>
  </si>
  <si>
    <t>Tab Names</t>
  </si>
  <si>
    <t>Instructions</t>
  </si>
  <si>
    <t>Summary</t>
  </si>
  <si>
    <t>1.1 Read Chapter 5-7 of Friedland's textbook. Exhibit I of Chapter 7 can be referred to as an example;</t>
  </si>
  <si>
    <t>Friedland's textbook</t>
  </si>
  <si>
    <t>1.2 The exhibits at the end of Chapter 7 of Friedland's textbook can be referred to as examples;</t>
  </si>
  <si>
    <t>Base_Indem_Tri</t>
  </si>
  <si>
    <t>2.1 Start with the given paid loss triangle and the incurred loss triangle, perform any data analysis required (such as identifying outliers);</t>
  </si>
  <si>
    <t>2.2 Select incremental loss development factors for paid and incurred loss triangles in the blue cells;</t>
  </si>
  <si>
    <t>2.3 Compare the selections for paid and incurred loss development factors in the '% of Ult' tab, and make adjustments as necessary;</t>
  </si>
  <si>
    <t>Base_Med_Tri</t>
  </si>
  <si>
    <t>3.1 Start with the given paid loss triangle and the incurred loss triangle, perform any data analysis required (such as identifying outliers);</t>
  </si>
  <si>
    <t>3.2 Select incremental loss development factors for paid and incurred loss triangles in the blue cells;</t>
  </si>
  <si>
    <t>3.3 Compare the selections for paid and incurred loss development factors in the '% of Ult' tab, and make adjustments as necessary;</t>
  </si>
  <si>
    <t>4.1 Compare the results of the paid loss development method against the incurred loss development method;</t>
  </si>
  <si>
    <t>4.2 Reflect on the reasons behind the differences, if any, and make adjustments as necessary;</t>
  </si>
  <si>
    <t>4.3 Reflect and answer the questions in the case study;</t>
  </si>
  <si>
    <t>B</t>
  </si>
  <si>
    <t>In-Depth Considerations (Frequency/Severity, Catastrophe, and Tail Factor)</t>
  </si>
  <si>
    <t>Summary Freq&amp;Sev</t>
  </si>
  <si>
    <t>1.1 Read Chapter 11 of Friedland's textbook, feel free to skip over Frequency Severity Approach #2;</t>
  </si>
  <si>
    <t>Rep_Tri</t>
  </si>
  <si>
    <t>2.1 Select incremental claim count development factors;</t>
  </si>
  <si>
    <t>3.1 Refer to Part A Step 2;</t>
  </si>
  <si>
    <t>Base_Indem_Sev</t>
  </si>
  <si>
    <t>3.2 Consider the effect of the catastrophic event given in the 'Catastrophe" tab as well as tail factors in the yellow cells (development beyond the latest data in the triangle)</t>
  </si>
  <si>
    <t>Base_Med_Sev</t>
  </si>
  <si>
    <t>3.1 Refer to Part A Step 3;</t>
  </si>
  <si>
    <t>5.1 Compare the results of the frequency/severity method against the loss development method in part A;</t>
  </si>
  <si>
    <t>5.2 Reflect and answer the questions in the case study;</t>
  </si>
  <si>
    <t>TOU Insurance Company - Workers Compensation</t>
  </si>
  <si>
    <t>Development of Unpaid Claim Estimate</t>
  </si>
  <si>
    <t>Paid Loss Development</t>
  </si>
  <si>
    <t>Indemnity + Medical</t>
  </si>
  <si>
    <t>Indemnity</t>
  </si>
  <si>
    <t>Medical</t>
  </si>
  <si>
    <t>Case</t>
  </si>
  <si>
    <t>Project Ultimate Claims</t>
  </si>
  <si>
    <t>Projected</t>
  </si>
  <si>
    <t>Unpaid Claim Estimate</t>
  </si>
  <si>
    <t>Accident</t>
  </si>
  <si>
    <t>Paid</t>
  </si>
  <si>
    <t>Selected</t>
  </si>
  <si>
    <t>Ultimate</t>
  </si>
  <si>
    <t>Earned</t>
  </si>
  <si>
    <t>Outstanding</t>
  </si>
  <si>
    <t>Using Loss Development</t>
  </si>
  <si>
    <t>Ultimate Loss Ratios</t>
  </si>
  <si>
    <t>IBNR</t>
  </si>
  <si>
    <t>Total Unpaid</t>
  </si>
  <si>
    <t>Year</t>
  </si>
  <si>
    <t>Losses</t>
  </si>
  <si>
    <t>LDFs</t>
  </si>
  <si>
    <t>Losses $000s</t>
  </si>
  <si>
    <t>Premiums</t>
  </si>
  <si>
    <t>Reported</t>
  </si>
  <si>
    <t>Reported Loss Development</t>
  </si>
  <si>
    <t>Total</t>
  </si>
  <si>
    <t>Provided by Company XYZ</t>
  </si>
  <si>
    <t>= (6) / (2)</t>
  </si>
  <si>
    <t>= (7) / (2)</t>
  </si>
  <si>
    <t>= (6) - (4)</t>
  </si>
  <si>
    <t>= (7) - (4)</t>
  </si>
  <si>
    <t>= (4) - (3)</t>
  </si>
  <si>
    <t>= (5) + (10)</t>
  </si>
  <si>
    <t>Selected by Actuary</t>
  </si>
  <si>
    <t>= (5) + (11)</t>
  </si>
  <si>
    <t xml:space="preserve"> </t>
  </si>
  <si>
    <t>Direct Accident Year Case Reported Loss Development Factors</t>
  </si>
  <si>
    <t>Direct Accident Year Paid Loss Development Factors</t>
  </si>
  <si>
    <t>INDEMNITY in $Thousands (2004 Dollars)</t>
  </si>
  <si>
    <t>INDEMNITY in $Thousands</t>
  </si>
  <si>
    <t>Inflation Rates</t>
  </si>
  <si>
    <t>Cummulative</t>
  </si>
  <si>
    <t>Inflation %</t>
  </si>
  <si>
    <t>Cummulative Inflation</t>
  </si>
  <si>
    <t xml:space="preserve">reported </t>
  </si>
  <si>
    <t>Time</t>
  </si>
  <si>
    <t>Paid Rate</t>
  </si>
  <si>
    <t>Reported Rate</t>
  </si>
  <si>
    <t>total sum</t>
  </si>
  <si>
    <t>total</t>
  </si>
  <si>
    <t>paid</t>
  </si>
  <si>
    <t>0.1, 0.15, 0.20, 0.25, 0.3</t>
  </si>
  <si>
    <t>Target - Direct Accident Year Case Reported Loss Development Factors</t>
  </si>
  <si>
    <t>Target - Direct Accident Year Paid Loss Development Factors</t>
  </si>
  <si>
    <t>0.1, 0.2, 0.3, 0.4</t>
  </si>
  <si>
    <t>Inflation Adjusted Direct Accident Year Paid Loss Development Factors</t>
  </si>
  <si>
    <t>INDEMNITY</t>
  </si>
  <si>
    <t>0.2, 0.35, 0.45</t>
  </si>
  <si>
    <t>0.6, 0.4</t>
  </si>
  <si>
    <t>to</t>
  </si>
  <si>
    <t>Incremental Averages</t>
  </si>
  <si>
    <t>2 Year</t>
  </si>
  <si>
    <t>3 Year</t>
  </si>
  <si>
    <t>4 Year</t>
  </si>
  <si>
    <t>5 Year</t>
  </si>
  <si>
    <t>All Year</t>
  </si>
  <si>
    <t>Cumulative</t>
  </si>
  <si>
    <t>Calendar</t>
  </si>
  <si>
    <t>MEDICAL in $Thousands</t>
  </si>
  <si>
    <t>reported</t>
  </si>
  <si>
    <t>MEDICAL</t>
  </si>
  <si>
    <t>Percent Paid</t>
  </si>
  <si>
    <t>Percent Reported</t>
  </si>
  <si>
    <t>Age</t>
  </si>
  <si>
    <t>Ind Paid</t>
  </si>
  <si>
    <t>Med Paid</t>
  </si>
  <si>
    <t>Ind Rep</t>
  </si>
  <si>
    <t>Med Rep</t>
  </si>
  <si>
    <t>Catastrophe event background</t>
  </si>
  <si>
    <t>Occurred on 12/29/2012 setting up fireworks for NYE, so nothing paid or reserved in year 1.  Some fatalities were settled indemnity in year 2.</t>
  </si>
  <si>
    <t>All claims were able to be settled in year 4 with final payments and savings realized on reserves.  This data is included in the triangles.</t>
  </si>
  <si>
    <t>In Thousands</t>
  </si>
  <si>
    <t>Indemnity Reported</t>
  </si>
  <si>
    <t>Indemnity Paid</t>
  </si>
  <si>
    <t>Medical Reported</t>
  </si>
  <si>
    <t>Medical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</si>
</sst>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yyyy"/>
    <numFmt numFmtId="165" formatCode="0.0%"/>
    <numFmt numFmtId="166" formatCode="0.000"/>
    <numFmt numFmtId="167" formatCode="_(* #,##0.000_);_(* \(#,##0.000\);_(* &quot;-&quot;??_);_(@_)"/>
    <numFmt numFmtId="168" formatCode="_(* #,##0_);_(* \(#,##0\);_(* &quot;-&quot;??_);_(@_)"/>
    <numFmt numFmtId="169" formatCode="0_);\(0\)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6"/>
      <color indexed="18"/>
      <name val="Times New Roman"/>
      <family val="1"/>
    </font>
    <font>
      <sz val="10"/>
      <color indexed="18"/>
      <name val="Times New Roman"/>
      <family val="1"/>
    </font>
    <font>
      <u/>
      <sz val="1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color theme="9"/>
      <name val="Arial"/>
      <family val="2"/>
    </font>
    <font>
      <sz val="10"/>
      <color rgb="FF70AD47"/>
      <name val="Arial"/>
      <family val="2"/>
    </font>
    <font>
      <sz val="10"/>
      <color theme="9"/>
      <name val="Arial"/>
    </font>
  </fonts>
  <fills count="10">
    <fill>
      <patternFill patternType="none"/>
    </fill>
    <fill>
      <patternFill patternType="gray125"/>
    </fill>
    <fill>
      <patternFill patternType="lightGray">
        <fgColor indexed="13"/>
      </patternFill>
    </fill>
    <fill>
      <patternFill patternType="lightGray">
        <fgColor indexed="13"/>
        <bgColor indexed="9"/>
      </patternFill>
    </fill>
    <fill>
      <patternFill patternType="gray125">
        <f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5" fillId="2" borderId="0" applyNumberFormat="0" applyBorder="0">
      <alignment horizontal="centerContinuous"/>
      <protection locked="0"/>
    </xf>
    <xf numFmtId="164" fontId="6" fillId="3" borderId="0" applyBorder="0">
      <alignment horizontal="center" wrapText="1"/>
      <protection locked="0"/>
    </xf>
    <xf numFmtId="3" fontId="6" fillId="4" borderId="0" applyBorder="0">
      <alignment horizontal="right"/>
      <protection locked="0"/>
    </xf>
    <xf numFmtId="43" fontId="8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0" fontId="2" fillId="0" borderId="0"/>
  </cellStyleXfs>
  <cellXfs count="10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16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3" fontId="0" fillId="0" borderId="0" xfId="0" applyNumberFormat="1"/>
    <xf numFmtId="165" fontId="0" fillId="0" borderId="0" xfId="1" applyNumberFormat="1" applyFont="1"/>
    <xf numFmtId="0" fontId="2" fillId="0" borderId="0" xfId="0" applyFont="1" applyAlignment="1">
      <alignment horizontal="right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/>
    <xf numFmtId="3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center" vertical="center"/>
    </xf>
    <xf numFmtId="166" fontId="0" fillId="5" borderId="0" xfId="0" applyNumberFormat="1" applyFill="1" applyAlignment="1">
      <alignment horizontal="center"/>
    </xf>
    <xf numFmtId="0" fontId="2" fillId="7" borderId="1" xfId="0" applyFont="1" applyFill="1" applyBorder="1" applyAlignment="1">
      <alignment horizontal="left"/>
    </xf>
    <xf numFmtId="166" fontId="0" fillId="7" borderId="2" xfId="0" applyNumberFormat="1" applyFill="1" applyBorder="1" applyAlignment="1">
      <alignment horizontal="center"/>
    </xf>
    <xf numFmtId="166" fontId="0" fillId="7" borderId="3" xfId="0" applyNumberFormat="1" applyFill="1" applyBorder="1" applyAlignment="1">
      <alignment horizontal="center"/>
    </xf>
    <xf numFmtId="0" fontId="0" fillId="8" borderId="0" xfId="0" applyFill="1"/>
    <xf numFmtId="0" fontId="4" fillId="8" borderId="4" xfId="0" applyFont="1" applyFill="1" applyBorder="1" applyAlignment="1">
      <alignment horizontal="center"/>
    </xf>
    <xf numFmtId="3" fontId="0" fillId="8" borderId="0" xfId="0" applyNumberFormat="1" applyFill="1" applyAlignment="1">
      <alignment horizontal="center"/>
    </xf>
    <xf numFmtId="0" fontId="4" fillId="8" borderId="0" xfId="0" applyFont="1" applyFill="1"/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3" fontId="0" fillId="8" borderId="13" xfId="0" applyNumberFormat="1" applyFill="1" applyBorder="1" applyAlignment="1">
      <alignment horizontal="center"/>
    </xf>
    <xf numFmtId="43" fontId="0" fillId="6" borderId="0" xfId="5" applyFont="1" applyFill="1" applyBorder="1" applyAlignment="1">
      <alignment horizontal="center"/>
    </xf>
    <xf numFmtId="3" fontId="0" fillId="8" borderId="11" xfId="0" applyNumberFormat="1" applyFill="1" applyBorder="1" applyAlignment="1">
      <alignment horizontal="center"/>
    </xf>
    <xf numFmtId="43" fontId="0" fillId="6" borderId="13" xfId="5" applyFont="1" applyFill="1" applyBorder="1" applyAlignment="1">
      <alignment horizontal="center"/>
    </xf>
    <xf numFmtId="3" fontId="0" fillId="8" borderId="14" xfId="0" applyNumberFormat="1" applyFill="1" applyBorder="1" applyAlignment="1">
      <alignment horizontal="center"/>
    </xf>
    <xf numFmtId="167" fontId="0" fillId="0" borderId="0" xfId="5" applyNumberFormat="1" applyFont="1"/>
    <xf numFmtId="167" fontId="0" fillId="0" borderId="0" xfId="0" applyNumberFormat="1"/>
    <xf numFmtId="0" fontId="9" fillId="0" borderId="0" xfId="6" applyFont="1"/>
    <xf numFmtId="0" fontId="10" fillId="0" borderId="0" xfId="6" applyFont="1"/>
    <xf numFmtId="0" fontId="10" fillId="8" borderId="0" xfId="6" applyFont="1" applyFill="1"/>
    <xf numFmtId="0" fontId="10" fillId="8" borderId="16" xfId="6" applyFont="1" applyFill="1" applyBorder="1"/>
    <xf numFmtId="0" fontId="12" fillId="8" borderId="17" xfId="7" applyFont="1" applyFill="1" applyBorder="1" applyAlignment="1" applyProtection="1">
      <alignment horizontal="left" indent="2"/>
    </xf>
    <xf numFmtId="0" fontId="10" fillId="0" borderId="17" xfId="6" applyFont="1" applyBorder="1"/>
    <xf numFmtId="0" fontId="10" fillId="8" borderId="17" xfId="6" applyFont="1" applyFill="1" applyBorder="1"/>
    <xf numFmtId="0" fontId="10" fillId="8" borderId="19" xfId="6" applyFont="1" applyFill="1" applyBorder="1"/>
    <xf numFmtId="0" fontId="10" fillId="0" borderId="16" xfId="6" applyFont="1" applyBorder="1"/>
    <xf numFmtId="0" fontId="10" fillId="0" borderId="18" xfId="6" applyFont="1" applyBorder="1"/>
    <xf numFmtId="0" fontId="10" fillId="0" borderId="19" xfId="6" applyFont="1" applyBorder="1"/>
    <xf numFmtId="0" fontId="10" fillId="0" borderId="0" xfId="6" applyFont="1" applyAlignment="1">
      <alignment horizontal="center"/>
    </xf>
    <xf numFmtId="0" fontId="13" fillId="0" borderId="0" xfId="7" applyFont="1" applyAlignment="1" applyProtection="1"/>
    <xf numFmtId="0" fontId="10" fillId="0" borderId="0" xfId="6" applyFont="1" applyAlignment="1">
      <alignment wrapText="1"/>
    </xf>
    <xf numFmtId="0" fontId="0" fillId="8" borderId="0" xfId="0" applyFill="1" applyAlignment="1">
      <alignment horizontal="center"/>
    </xf>
    <xf numFmtId="168" fontId="0" fillId="8" borderId="0" xfId="8" applyNumberFormat="1" applyFont="1" applyFill="1"/>
    <xf numFmtId="9" fontId="0" fillId="8" borderId="0" xfId="1" applyFont="1" applyFill="1"/>
    <xf numFmtId="168" fontId="0" fillId="8" borderId="0" xfId="0" applyNumberFormat="1" applyFill="1"/>
    <xf numFmtId="0" fontId="2" fillId="0" borderId="0" xfId="9"/>
    <xf numFmtId="0" fontId="4" fillId="0" borderId="0" xfId="9" applyFont="1"/>
    <xf numFmtId="9" fontId="2" fillId="0" borderId="0" xfId="1"/>
    <xf numFmtId="169" fontId="0" fillId="8" borderId="0" xfId="0" applyNumberFormat="1" applyFill="1" applyAlignment="1">
      <alignment horizontal="center"/>
    </xf>
    <xf numFmtId="0" fontId="0" fillId="8" borderId="0" xfId="0" quotePrefix="1" applyFill="1"/>
    <xf numFmtId="166" fontId="14" fillId="0" borderId="0" xfId="0" applyNumberFormat="1" applyFont="1" applyAlignment="1">
      <alignment horizontal="center"/>
    </xf>
    <xf numFmtId="168" fontId="0" fillId="8" borderId="0" xfId="5" applyNumberFormat="1" applyFont="1" applyFill="1"/>
    <xf numFmtId="0" fontId="10" fillId="8" borderId="16" xfId="6" applyFont="1" applyFill="1" applyBorder="1" applyAlignment="1">
      <alignment horizontal="center" wrapText="1"/>
    </xf>
    <xf numFmtId="0" fontId="10" fillId="8" borderId="17" xfId="6" applyFont="1" applyFill="1" applyBorder="1" applyAlignment="1">
      <alignment horizontal="center" wrapText="1"/>
    </xf>
    <xf numFmtId="0" fontId="10" fillId="8" borderId="15" xfId="6" applyFont="1" applyFill="1" applyBorder="1" applyAlignment="1">
      <alignment horizontal="center"/>
    </xf>
    <xf numFmtId="0" fontId="10" fillId="0" borderId="15" xfId="6" applyFont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3" fillId="0" borderId="0" xfId="0" applyFont="1" applyAlignment="1">
      <alignment horizontal="center"/>
    </xf>
    <xf numFmtId="3" fontId="0" fillId="5" borderId="0" xfId="0" applyNumberFormat="1" applyFill="1" applyAlignment="1">
      <alignment horizontal="center"/>
    </xf>
    <xf numFmtId="0" fontId="3" fillId="0" borderId="0" xfId="0" applyFont="1"/>
    <xf numFmtId="0" fontId="0" fillId="5" borderId="0" xfId="0" applyFill="1" applyAlignment="1">
      <alignment horizontal="center"/>
    </xf>
    <xf numFmtId="3" fontId="15" fillId="0" borderId="0" xfId="0" applyNumberFormat="1" applyFont="1" applyAlignment="1">
      <alignment horizontal="center"/>
    </xf>
    <xf numFmtId="0" fontId="15" fillId="0" borderId="0" xfId="0" applyFont="1"/>
    <xf numFmtId="166" fontId="15" fillId="0" borderId="0" xfId="0" applyNumberFormat="1" applyFont="1" applyAlignment="1">
      <alignment horizontal="center"/>
    </xf>
    <xf numFmtId="3" fontId="15" fillId="0" borderId="0" xfId="0" applyNumberFormat="1" applyFont="1"/>
    <xf numFmtId="0" fontId="15" fillId="0" borderId="0" xfId="0" applyFont="1" applyAlignment="1">
      <alignment horizontal="center"/>
    </xf>
    <xf numFmtId="166" fontId="0" fillId="7" borderId="0" xfId="0" applyNumberFormat="1" applyFill="1" applyAlignment="1">
      <alignment horizontal="center"/>
    </xf>
    <xf numFmtId="3" fontId="2" fillId="0" borderId="0" xfId="0" applyNumberFormat="1" applyFont="1" applyAlignment="1">
      <alignment horizontal="center"/>
    </xf>
    <xf numFmtId="166" fontId="0" fillId="9" borderId="3" xfId="0" applyNumberFormat="1" applyFill="1" applyBorder="1"/>
    <xf numFmtId="166" fontId="2" fillId="7" borderId="1" xfId="0" applyNumberFormat="1" applyFont="1" applyFill="1" applyBorder="1" applyAlignment="1">
      <alignment horizontal="left"/>
    </xf>
    <xf numFmtId="0" fontId="16" fillId="0" borderId="0" xfId="0" applyFont="1"/>
    <xf numFmtId="3" fontId="16" fillId="0" borderId="0" xfId="0" applyNumberFormat="1" applyFont="1"/>
    <xf numFmtId="0" fontId="2" fillId="9" borderId="1" xfId="0" applyFont="1" applyFill="1" applyBorder="1"/>
    <xf numFmtId="3" fontId="17" fillId="0" borderId="0" xfId="0" applyNumberFormat="1" applyFont="1"/>
    <xf numFmtId="0" fontId="17" fillId="0" borderId="0" xfId="0" applyFont="1"/>
    <xf numFmtId="166" fontId="0" fillId="9" borderId="2" xfId="0" applyNumberFormat="1" applyFill="1" applyBorder="1"/>
    <xf numFmtId="3" fontId="2" fillId="0" borderId="0" xfId="0" applyNumberFormat="1" applyFont="1"/>
    <xf numFmtId="0" fontId="10" fillId="8" borderId="15" xfId="6" applyFont="1" applyFill="1" applyBorder="1" applyAlignment="1">
      <alignment horizontal="center"/>
    </xf>
    <xf numFmtId="0" fontId="10" fillId="8" borderId="16" xfId="6" applyFont="1" applyFill="1" applyBorder="1" applyAlignment="1">
      <alignment horizontal="center" wrapText="1"/>
    </xf>
    <xf numFmtId="0" fontId="10" fillId="8" borderId="18" xfId="6" applyFont="1" applyFill="1" applyBorder="1" applyAlignment="1">
      <alignment horizontal="center" wrapText="1"/>
    </xf>
    <xf numFmtId="0" fontId="10" fillId="8" borderId="16" xfId="6" applyFont="1" applyFill="1" applyBorder="1" applyAlignment="1">
      <alignment horizontal="center"/>
    </xf>
    <xf numFmtId="0" fontId="10" fillId="8" borderId="17" xfId="6" applyFont="1" applyFill="1" applyBorder="1" applyAlignment="1">
      <alignment horizontal="center" wrapText="1"/>
    </xf>
    <xf numFmtId="0" fontId="10" fillId="0" borderId="16" xfId="6" applyFont="1" applyBorder="1" applyAlignment="1">
      <alignment horizontal="center"/>
    </xf>
    <xf numFmtId="0" fontId="10" fillId="0" borderId="17" xfId="6" applyFont="1" applyBorder="1" applyAlignment="1">
      <alignment horizontal="center"/>
    </xf>
    <xf numFmtId="0" fontId="10" fillId="0" borderId="18" xfId="6" applyFont="1" applyBorder="1" applyAlignment="1">
      <alignment horizontal="center"/>
    </xf>
    <xf numFmtId="0" fontId="10" fillId="0" borderId="15" xfId="6" applyFont="1" applyBorder="1" applyAlignment="1">
      <alignment horizontal="center"/>
    </xf>
    <xf numFmtId="0" fontId="10" fillId="8" borderId="17" xfId="6" applyFont="1" applyFill="1" applyBorder="1" applyAlignment="1">
      <alignment horizontal="center"/>
    </xf>
    <xf numFmtId="0" fontId="10" fillId="8" borderId="18" xfId="6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4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</cellXfs>
  <cellStyles count="10">
    <cellStyle name="Affinity Exhibit" xfId="4" xr:uid="{00000000-0005-0000-0000-000000000000}"/>
    <cellStyle name="Affinity Exhibit Header" xfId="2" xr:uid="{00000000-0005-0000-0000-000001000000}"/>
    <cellStyle name="Affinity Headings" xfId="3" xr:uid="{00000000-0005-0000-0000-000002000000}"/>
    <cellStyle name="Comma 2" xfId="8" xr:uid="{00000000-0005-0000-0000-000004000000}"/>
    <cellStyle name="Normal 2" xfId="9" xr:uid="{00000000-0005-0000-0000-000007000000}"/>
    <cellStyle name="Normal 3" xfId="6" xr:uid="{00000000-0005-0000-0000-000008000000}"/>
    <cellStyle name="千位分隔" xfId="5" builtinId="3"/>
    <cellStyle name="常规" xfId="0" builtinId="0"/>
    <cellStyle name="百分比" xfId="1" builtinId="5"/>
    <cellStyle name="超链接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Incurred Loss Development Factors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Base_Indem_Tri!$A$67</c:f>
              <c:strCache>
                <c:ptCount val="1"/>
                <c:pt idx="0">
                  <c:v>2010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Base_Indem_Tri!$B$6:$M$6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Base_Indem_Tri!$B$67:$I$67</c:f>
              <c:numCache>
                <c:formatCode>0.000</c:formatCode>
                <c:ptCount val="8"/>
                <c:pt idx="0">
                  <c:v>1.3190005316321105</c:v>
                </c:pt>
                <c:pt idx="1">
                  <c:v>1.0989968755138957</c:v>
                </c:pt>
                <c:pt idx="2">
                  <c:v>1.0349964598956753</c:v>
                </c:pt>
                <c:pt idx="3">
                  <c:v>1.0010072087368163</c:v>
                </c:pt>
                <c:pt idx="4">
                  <c:v>0.99100040643325782</c:v>
                </c:pt>
                <c:pt idx="5">
                  <c:v>0.99200877467878412</c:v>
                </c:pt>
                <c:pt idx="6">
                  <c:v>0.99300093801861611</c:v>
                </c:pt>
                <c:pt idx="7">
                  <c:v>1.0195489148154975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7-48B6-81BA-273641B7D506}"/>
            </c:ext>
          </c:extLst>
        </c:ser>
        <c:ser>
          <c:idx val="1"/>
          <c:order val="1"/>
          <c:tx>
            <c:strRef>
              <c:f>Base_Indem_Tri!$A$68</c:f>
              <c:strCache>
                <c:ptCount val="1"/>
                <c:pt idx="0">
                  <c:v>2011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Base_Indem_Tri!$B$6:$M$6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Base_Indem_Tri!$B$68:$J$68</c:f>
              <c:numCache>
                <c:formatCode>0.000</c:formatCode>
                <c:ptCount val="9"/>
                <c:pt idx="0">
                  <c:v>1.3679912785105064</c:v>
                </c:pt>
                <c:pt idx="1">
                  <c:v>1.1100022571179828</c:v>
                </c:pt>
                <c:pt idx="2">
                  <c:v>1.0330009658155701</c:v>
                </c:pt>
                <c:pt idx="3">
                  <c:v>1.003992796213824</c:v>
                </c:pt>
                <c:pt idx="4">
                  <c:v>0.9949977719961477</c:v>
                </c:pt>
                <c:pt idx="5">
                  <c:v>0.98699320365596432</c:v>
                </c:pt>
                <c:pt idx="6">
                  <c:v>0.99798968998147641</c:v>
                </c:pt>
                <c:pt idx="7">
                  <c:v>1.0471879087341955</c:v>
                </c:pt>
                <c:pt idx="8">
                  <c:v>1.0095939933259177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E7-48B6-81BA-273641B7D506}"/>
            </c:ext>
          </c:extLst>
        </c:ser>
        <c:ser>
          <c:idx val="2"/>
          <c:order val="2"/>
          <c:tx>
            <c:strRef>
              <c:f>Base_Indem_Tri!$A$69</c:f>
              <c:strCache>
                <c:ptCount val="1"/>
                <c:pt idx="0">
                  <c:v>2012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Base_Indem_Tri!$B$6:$M$6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Base_Indem_Tri!$B$69:$K$69</c:f>
              <c:numCache>
                <c:formatCode>0.000</c:formatCode>
                <c:ptCount val="10"/>
                <c:pt idx="0">
                  <c:v>1.3903607179841215</c:v>
                </c:pt>
                <c:pt idx="1">
                  <c:v>1.1129914369648104</c:v>
                </c:pt>
                <c:pt idx="2">
                  <c:v>1.0350041394936746</c:v>
                </c:pt>
                <c:pt idx="3">
                  <c:v>0.99599678689474447</c:v>
                </c:pt>
                <c:pt idx="4">
                  <c:v>0.99300563164847389</c:v>
                </c:pt>
                <c:pt idx="5">
                  <c:v>1.0030048684647723</c:v>
                </c:pt>
                <c:pt idx="6">
                  <c:v>1.0030125845898137</c:v>
                </c:pt>
                <c:pt idx="7">
                  <c:v>0.99346771988892246</c:v>
                </c:pt>
                <c:pt idx="8">
                  <c:v>1.0096451420403292</c:v>
                </c:pt>
                <c:pt idx="9">
                  <c:v>0.98104944222558876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E7-48B6-81BA-273641B7D506}"/>
            </c:ext>
          </c:extLst>
        </c:ser>
        <c:ser>
          <c:idx val="3"/>
          <c:order val="3"/>
          <c:tx>
            <c:strRef>
              <c:f>Base_Indem_Tri!$A$70</c:f>
              <c:strCache>
                <c:ptCount val="1"/>
                <c:pt idx="0">
                  <c:v>2013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Base_Indem_Tri!$B$6:$M$6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Base_Indem_Tri!$B$70:$L$70</c:f>
              <c:numCache>
                <c:formatCode>0.000</c:formatCode>
                <c:ptCount val="11"/>
                <c:pt idx="0">
                  <c:v>1.3449984733541585</c:v>
                </c:pt>
                <c:pt idx="1">
                  <c:v>1.1228935853272508</c:v>
                </c:pt>
                <c:pt idx="2">
                  <c:v>1.0280090415151557</c:v>
                </c:pt>
                <c:pt idx="3">
                  <c:v>0.99600050519934324</c:v>
                </c:pt>
                <c:pt idx="4">
                  <c:v>0.99500231374363723</c:v>
                </c:pt>
                <c:pt idx="5">
                  <c:v>0.99799753542821934</c:v>
                </c:pt>
                <c:pt idx="6">
                  <c:v>0.99000417692894904</c:v>
                </c:pt>
                <c:pt idx="7">
                  <c:v>1.0064509447083019</c:v>
                </c:pt>
                <c:pt idx="8">
                  <c:v>1.0203050096311208</c:v>
                </c:pt>
                <c:pt idx="9">
                  <c:v>1.0252089289641522</c:v>
                </c:pt>
                <c:pt idx="10">
                  <c:v>1.0191762360670467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E7-48B6-81BA-273641B7D506}"/>
            </c:ext>
          </c:extLst>
        </c:ser>
        <c:ser>
          <c:idx val="4"/>
          <c:order val="4"/>
          <c:tx>
            <c:strRef>
              <c:f>Base_Indem_Tri!$A$71</c:f>
              <c:strCache>
                <c:ptCount val="1"/>
                <c:pt idx="0">
                  <c:v>2014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Base_Indem_Tri!$B$6:$M$6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Base_Indem_Tri!$B$71:$M$71</c:f>
              <c:numCache>
                <c:formatCode>0.000</c:formatCode>
                <c:ptCount val="12"/>
                <c:pt idx="0">
                  <c:v>1.5069946314268017</c:v>
                </c:pt>
                <c:pt idx="1">
                  <c:v>1.1489889288583104</c:v>
                </c:pt>
                <c:pt idx="2">
                  <c:v>1.009355222065611</c:v>
                </c:pt>
                <c:pt idx="3">
                  <c:v>0</c:v>
                </c:pt>
                <c:pt idx="4">
                  <c:v>1.0020007326626652</c:v>
                </c:pt>
                <c:pt idx="5">
                  <c:v>0.99600037205841319</c:v>
                </c:pt>
                <c:pt idx="6">
                  <c:v>0.98999565028273162</c:v>
                </c:pt>
                <c:pt idx="7">
                  <c:v>0.99447152105914016</c:v>
                </c:pt>
                <c:pt idx="8">
                  <c:v>0.98995927847933785</c:v>
                </c:pt>
                <c:pt idx="9">
                  <c:v>0.99410921375746997</c:v>
                </c:pt>
                <c:pt idx="10">
                  <c:v>0.99174107741399187</c:v>
                </c:pt>
                <c:pt idx="11">
                  <c:v>0.99009641873278242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E7-48B6-81BA-273641B7D506}"/>
            </c:ext>
          </c:extLst>
        </c:ser>
        <c:ser>
          <c:idx val="5"/>
          <c:order val="5"/>
          <c:tx>
            <c:strRef>
              <c:f>Base_Indem_Tri!$A$49</c:f>
              <c:strCache>
                <c:ptCount val="1"/>
                <c:pt idx="0">
                  <c:v>Selected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Base_Indem_Tri!$B$6:$N$6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Base_Indem_Tri!$B$49:$N$49</c:f>
              <c:numCache>
                <c:formatCode>0.000</c:formatCode>
                <c:ptCount val="13"/>
                <c:pt idx="0">
                  <c:v>1.3677834899495955</c:v>
                </c:pt>
                <c:pt idx="1">
                  <c:v>1.1152957598033479</c:v>
                </c:pt>
                <c:pt idx="2">
                  <c:v>1.0234550764654455</c:v>
                </c:pt>
                <c:pt idx="3">
                  <c:v>0.9986633627693039</c:v>
                </c:pt>
                <c:pt idx="4">
                  <c:v>0.99433523912941968</c:v>
                </c:pt>
                <c:pt idx="5">
                  <c:v>0.99767039285725856</c:v>
                </c:pt>
                <c:pt idx="6">
                  <c:v>0.99266317239771906</c:v>
                </c:pt>
                <c:pt idx="7">
                  <c:v>1.0068237935276465</c:v>
                </c:pt>
                <c:pt idx="8">
                  <c:v>0.99980221025983351</c:v>
                </c:pt>
                <c:pt idx="9">
                  <c:v>0.99410921375746997</c:v>
                </c:pt>
                <c:pt idx="10">
                  <c:v>1.0054586567405193</c:v>
                </c:pt>
                <c:pt idx="11">
                  <c:v>0.98799999999999999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E7-48B6-81BA-273641B7D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38256"/>
        <c:axId val="401638648"/>
      </c:scatterChart>
      <c:valAx>
        <c:axId val="40163825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01638648"/>
        <c:crosses val="autoZero"/>
        <c:crossBetween val="midCat"/>
        <c:majorUnit val="12"/>
      </c:valAx>
      <c:valAx>
        <c:axId val="401638648"/>
        <c:scaling>
          <c:orientation val="minMax"/>
          <c:min val="0.9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01638256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Paid Loss Development Factors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Base_Indem_Tri!$R$67</c:f>
              <c:strCache>
                <c:ptCount val="1"/>
                <c:pt idx="0">
                  <c:v>2010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Base_Indem_Tri!$S$6:$Y$6</c:f>
              <c:numCache>
                <c:formatCode>General</c:formatCode>
                <c:ptCount val="7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</c:numCache>
            </c:numRef>
          </c:xVal>
          <c:yVal>
            <c:numRef>
              <c:f>Base_Indem_Tri!$S$67:$Z$67</c:f>
              <c:numCache>
                <c:formatCode>0.000</c:formatCode>
                <c:ptCount val="8"/>
                <c:pt idx="0">
                  <c:v>2.657</c:v>
                </c:pt>
                <c:pt idx="1">
                  <c:v>1.508</c:v>
                </c:pt>
                <c:pt idx="2">
                  <c:v>1.212</c:v>
                </c:pt>
                <c:pt idx="3">
                  <c:v>1.115</c:v>
                </c:pt>
                <c:pt idx="4">
                  <c:v>1.06</c:v>
                </c:pt>
                <c:pt idx="5">
                  <c:v>1.03</c:v>
                </c:pt>
                <c:pt idx="6">
                  <c:v>1.0149999999999999</c:v>
                </c:pt>
                <c:pt idx="7">
                  <c:v>1.0254763825742708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2-4778-A05F-EE54253AA1A2}"/>
            </c:ext>
          </c:extLst>
        </c:ser>
        <c:ser>
          <c:idx val="1"/>
          <c:order val="1"/>
          <c:tx>
            <c:strRef>
              <c:f>Base_Indem_Tri!$R$68</c:f>
              <c:strCache>
                <c:ptCount val="1"/>
                <c:pt idx="0">
                  <c:v>2011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Base_Indem_Tri!$S$6:$Y$6</c:f>
              <c:numCache>
                <c:formatCode>General</c:formatCode>
                <c:ptCount val="7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</c:numCache>
            </c:numRef>
          </c:xVal>
          <c:yVal>
            <c:numRef>
              <c:f>Base_Indem_Tri!$S$68:$AA$68</c:f>
              <c:numCache>
                <c:formatCode>0.000</c:formatCode>
                <c:ptCount val="9"/>
                <c:pt idx="0">
                  <c:v>2.7349999999999999</c:v>
                </c:pt>
                <c:pt idx="1">
                  <c:v>1.55</c:v>
                </c:pt>
                <c:pt idx="2">
                  <c:v>1.236</c:v>
                </c:pt>
                <c:pt idx="3">
                  <c:v>1.137</c:v>
                </c:pt>
                <c:pt idx="4">
                  <c:v>1.0660000000000001</c:v>
                </c:pt>
                <c:pt idx="5">
                  <c:v>1.032</c:v>
                </c:pt>
                <c:pt idx="6">
                  <c:v>1.022</c:v>
                </c:pt>
                <c:pt idx="7">
                  <c:v>1.0373626800823705</c:v>
                </c:pt>
                <c:pt idx="8">
                  <c:v>1.0229285954814775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2-4778-A05F-EE54253AA1A2}"/>
            </c:ext>
          </c:extLst>
        </c:ser>
        <c:ser>
          <c:idx val="2"/>
          <c:order val="2"/>
          <c:tx>
            <c:strRef>
              <c:f>Base_Indem_Tri!$R$69</c:f>
              <c:strCache>
                <c:ptCount val="1"/>
                <c:pt idx="0">
                  <c:v>2012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Base_Indem_Tri!$S$6:$Y$6</c:f>
              <c:numCache>
                <c:formatCode>General</c:formatCode>
                <c:ptCount val="7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</c:numCache>
            </c:numRef>
          </c:xVal>
          <c:yVal>
            <c:numRef>
              <c:f>Base_Indem_Tri!$S$69:$AB$69</c:f>
              <c:numCache>
                <c:formatCode>0.000</c:formatCode>
                <c:ptCount val="10"/>
                <c:pt idx="0">
                  <c:v>2.8609914438771891</c:v>
                </c:pt>
                <c:pt idx="1">
                  <c:v>1.546</c:v>
                </c:pt>
                <c:pt idx="2">
                  <c:v>1.23</c:v>
                </c:pt>
                <c:pt idx="3">
                  <c:v>1.1180000000000001</c:v>
                </c:pt>
                <c:pt idx="4">
                  <c:v>1.0569999999999999</c:v>
                </c:pt>
                <c:pt idx="5">
                  <c:v>1.04</c:v>
                </c:pt>
                <c:pt idx="6">
                  <c:v>1.0249999999999999</c:v>
                </c:pt>
                <c:pt idx="7">
                  <c:v>1.0034874609314008</c:v>
                </c:pt>
                <c:pt idx="8">
                  <c:v>1.0142945623481456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E2-4778-A05F-EE54253AA1A2}"/>
            </c:ext>
          </c:extLst>
        </c:ser>
        <c:ser>
          <c:idx val="3"/>
          <c:order val="3"/>
          <c:tx>
            <c:strRef>
              <c:f>Base_Indem_Tri!$R$70</c:f>
              <c:strCache>
                <c:ptCount val="1"/>
                <c:pt idx="0">
                  <c:v>2013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Base_Indem_Tri!$S$6:$Y$6</c:f>
              <c:numCache>
                <c:formatCode>General</c:formatCode>
                <c:ptCount val="7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</c:numCache>
            </c:numRef>
          </c:xVal>
          <c:yVal>
            <c:numRef>
              <c:f>Base_Indem_Tri!$S$70:$AC$70</c:f>
              <c:numCache>
                <c:formatCode>0.000</c:formatCode>
                <c:ptCount val="11"/>
                <c:pt idx="0">
                  <c:v>2.8849999999999998</c:v>
                </c:pt>
                <c:pt idx="1">
                  <c:v>1.5620205733677401</c:v>
                </c:pt>
                <c:pt idx="2">
                  <c:v>1.236</c:v>
                </c:pt>
                <c:pt idx="3">
                  <c:v>1.117</c:v>
                </c:pt>
                <c:pt idx="4">
                  <c:v>1.0609999999999999</c:v>
                </c:pt>
                <c:pt idx="5">
                  <c:v>1.03</c:v>
                </c:pt>
                <c:pt idx="6">
                  <c:v>1.0169999999999999</c:v>
                </c:pt>
                <c:pt idx="7">
                  <c:v>1.0235685063169697</c:v>
                </c:pt>
                <c:pt idx="8">
                  <c:v>1.026335451930815</c:v>
                </c:pt>
                <c:pt idx="9">
                  <c:v>1.0353968223083039</c:v>
                </c:pt>
                <c:pt idx="10">
                  <c:v>1.0214604571587957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E2-4778-A05F-EE54253AA1A2}"/>
            </c:ext>
          </c:extLst>
        </c:ser>
        <c:ser>
          <c:idx val="4"/>
          <c:order val="4"/>
          <c:tx>
            <c:strRef>
              <c:f>Base_Indem_Tri!$R$71</c:f>
              <c:strCache>
                <c:ptCount val="1"/>
                <c:pt idx="0">
                  <c:v>2014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Base_Indem_Tri!$S$6:$Y$6</c:f>
              <c:numCache>
                <c:formatCode>General</c:formatCode>
                <c:ptCount val="7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</c:numCache>
            </c:numRef>
          </c:xVal>
          <c:yVal>
            <c:numRef>
              <c:f>Base_Indem_Tri!$S$71:$AD$71</c:f>
              <c:numCache>
                <c:formatCode>0.000</c:formatCode>
                <c:ptCount val="12"/>
                <c:pt idx="0">
                  <c:v>2.8690000000000007</c:v>
                </c:pt>
                <c:pt idx="1">
                  <c:v>1.534</c:v>
                </c:pt>
                <c:pt idx="2">
                  <c:v>1.2229790893455237</c:v>
                </c:pt>
                <c:pt idx="3">
                  <c:v>1.115</c:v>
                </c:pt>
                <c:pt idx="4">
                  <c:v>1.06</c:v>
                </c:pt>
                <c:pt idx="5">
                  <c:v>1.0269999999999999</c:v>
                </c:pt>
                <c:pt idx="6">
                  <c:v>1.0149999999999999</c:v>
                </c:pt>
                <c:pt idx="7">
                  <c:v>1.0117219514927542</c:v>
                </c:pt>
                <c:pt idx="8">
                  <c:v>1.0109162963624072</c:v>
                </c:pt>
                <c:pt idx="9">
                  <c:v>1.0115206402835202</c:v>
                </c:pt>
                <c:pt idx="10">
                  <c:v>1.0193841443178828</c:v>
                </c:pt>
                <c:pt idx="11">
                  <c:v>1.0069986859403144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E2-4778-A05F-EE54253AA1A2}"/>
            </c:ext>
          </c:extLst>
        </c:ser>
        <c:ser>
          <c:idx val="5"/>
          <c:order val="5"/>
          <c:tx>
            <c:strRef>
              <c:f>Base_Indem_Tri!$R$49</c:f>
              <c:strCache>
                <c:ptCount val="1"/>
                <c:pt idx="0">
                  <c:v>Selected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Base_Indem_Tri!$S$6:$AE$6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Base_Indem_Tri!$S$49:$AE$49</c:f>
              <c:numCache>
                <c:formatCode>0.000</c:formatCode>
                <c:ptCount val="13"/>
                <c:pt idx="0">
                  <c:v>2.8300982887754378</c:v>
                </c:pt>
                <c:pt idx="1">
                  <c:v>1.5432051433419349</c:v>
                </c:pt>
                <c:pt idx="2">
                  <c:v>1.2284937268036571</c:v>
                </c:pt>
                <c:pt idx="3">
                  <c:v>1.1194</c:v>
                </c:pt>
                <c:pt idx="4">
                  <c:v>1.0605500000000001</c:v>
                </c:pt>
                <c:pt idx="5">
                  <c:v>1.0314000000000001</c:v>
                </c:pt>
                <c:pt idx="6">
                  <c:v>1.0185499999999998</c:v>
                </c:pt>
                <c:pt idx="7">
                  <c:v>1.0182582444831316</c:v>
                </c:pt>
                <c:pt idx="8">
                  <c:v>1.0174189261419844</c:v>
                </c:pt>
                <c:pt idx="9">
                  <c:v>1.0675731759354905</c:v>
                </c:pt>
                <c:pt idx="10">
                  <c:v>1.0198</c:v>
                </c:pt>
                <c:pt idx="11">
                  <c:v>1.0069999999999999</c:v>
                </c:pt>
                <c:pt idx="12" formatCode="General">
                  <c:v>1.0000065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E2-4778-A05F-EE54253AA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40216"/>
        <c:axId val="401640608"/>
      </c:scatterChart>
      <c:valAx>
        <c:axId val="4016402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01640608"/>
        <c:crosses val="autoZero"/>
        <c:crossBetween val="midCat"/>
        <c:majorUnit val="12"/>
      </c:valAx>
      <c:valAx>
        <c:axId val="401640608"/>
        <c:scaling>
          <c:orientation val="minMax"/>
          <c:min val="0.6000000000000002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n-US"/>
          </a:p>
        </c:txPr>
        <c:crossAx val="401640216"/>
        <c:crosses val="autoZero"/>
        <c:crossBetween val="midCat"/>
        <c:majorUnit val="0.4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Paid Loss Development Factors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Base_Med_Tri!$P$67</c:f>
              <c:strCache>
                <c:ptCount val="1"/>
                <c:pt idx="0">
                  <c:v>2010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Base_Med_Tri!$Q$63:$AC$63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Base_Med_Tri!$Q$67:$AC$67</c:f>
              <c:numCache>
                <c:formatCode>0.000</c:formatCode>
                <c:ptCount val="13"/>
                <c:pt idx="0">
                  <c:v>1.9129965790365828</c:v>
                </c:pt>
                <c:pt idx="1">
                  <c:v>1.1179936355902833</c:v>
                </c:pt>
                <c:pt idx="2">
                  <c:v>1.0490038511689965</c:v>
                </c:pt>
                <c:pt idx="3">
                  <c:v>1.022002089983824</c:v>
                </c:pt>
                <c:pt idx="4">
                  <c:v>1.0160033358256169</c:v>
                </c:pt>
                <c:pt idx="5">
                  <c:v>1.004996776273372</c:v>
                </c:pt>
                <c:pt idx="6">
                  <c:v>1.0029921169227227</c:v>
                </c:pt>
                <c:pt idx="7">
                  <c:v>1.0391757979256246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D2-49B9-921A-C65A99FC4953}"/>
            </c:ext>
          </c:extLst>
        </c:ser>
        <c:ser>
          <c:idx val="1"/>
          <c:order val="1"/>
          <c:tx>
            <c:strRef>
              <c:f>Base_Med_Tri!$P$68</c:f>
              <c:strCache>
                <c:ptCount val="1"/>
                <c:pt idx="0">
                  <c:v>2011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Base_Med_Tri!$Q$63:$AC$63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Base_Med_Tri!$Q$68:$AC$68</c:f>
              <c:numCache>
                <c:formatCode>0.000</c:formatCode>
                <c:ptCount val="13"/>
                <c:pt idx="0">
                  <c:v>1.9569814293071586</c:v>
                </c:pt>
                <c:pt idx="1">
                  <c:v>1.1179939101996101</c:v>
                </c:pt>
                <c:pt idx="2">
                  <c:v>1.0390034945327471</c:v>
                </c:pt>
                <c:pt idx="3">
                  <c:v>1.0210013586563755</c:v>
                </c:pt>
                <c:pt idx="4">
                  <c:v>1.0089923522985125</c:v>
                </c:pt>
                <c:pt idx="5">
                  <c:v>1.00600048117066</c:v>
                </c:pt>
                <c:pt idx="6">
                  <c:v>1.0050010935335716</c:v>
                </c:pt>
                <c:pt idx="7">
                  <c:v>1.0262463427227353</c:v>
                </c:pt>
                <c:pt idx="8">
                  <c:v>1.036586631864628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D2-49B9-921A-C65A99FC4953}"/>
            </c:ext>
          </c:extLst>
        </c:ser>
        <c:ser>
          <c:idx val="2"/>
          <c:order val="2"/>
          <c:tx>
            <c:strRef>
              <c:f>Base_Med_Tri!$P$69</c:f>
              <c:strCache>
                <c:ptCount val="1"/>
                <c:pt idx="0">
                  <c:v>2012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Base_Med_Tri!$Q$63:$AC$63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Base_Med_Tri!$Q$69:$AC$69</c:f>
              <c:numCache>
                <c:formatCode>0.000</c:formatCode>
                <c:ptCount val="13"/>
                <c:pt idx="0">
                  <c:v>2.0478694521448371</c:v>
                </c:pt>
                <c:pt idx="1">
                  <c:v>1.1140128177342952</c:v>
                </c:pt>
                <c:pt idx="2">
                  <c:v>1.0410116002593848</c:v>
                </c:pt>
                <c:pt idx="3">
                  <c:v>1.0160030378648151</c:v>
                </c:pt>
                <c:pt idx="4">
                  <c:v>1.0079984144735912</c:v>
                </c:pt>
                <c:pt idx="5">
                  <c:v>1.0029985007496252</c:v>
                </c:pt>
                <c:pt idx="6">
                  <c:v>1.0080045016529506</c:v>
                </c:pt>
                <c:pt idx="7">
                  <c:v>1.0189473073351902</c:v>
                </c:pt>
                <c:pt idx="8">
                  <c:v>1.0034100120188949</c:v>
                </c:pt>
                <c:pt idx="9">
                  <c:v>1.0104154744191369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D2-49B9-921A-C65A99FC4953}"/>
            </c:ext>
          </c:extLst>
        </c:ser>
        <c:ser>
          <c:idx val="3"/>
          <c:order val="3"/>
          <c:tx>
            <c:strRef>
              <c:f>Base_Med_Tri!$P$70</c:f>
              <c:strCache>
                <c:ptCount val="1"/>
                <c:pt idx="0">
                  <c:v>2013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Base_Med_Tri!$Q$63:$AC$63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Base_Med_Tri!$Q$70:$AC$70</c:f>
              <c:numCache>
                <c:formatCode>0.000</c:formatCode>
                <c:ptCount val="13"/>
                <c:pt idx="0">
                  <c:v>1.9610193487494101</c:v>
                </c:pt>
                <c:pt idx="1">
                  <c:v>1.1348926134222757</c:v>
                </c:pt>
                <c:pt idx="2">
                  <c:v>1.0369912316051304</c:v>
                </c:pt>
                <c:pt idx="3">
                  <c:v>1.014991486828809</c:v>
                </c:pt>
                <c:pt idx="4">
                  <c:v>1.0059933792514282</c:v>
                </c:pt>
                <c:pt idx="5">
                  <c:v>1.0059968541093196</c:v>
                </c:pt>
                <c:pt idx="6">
                  <c:v>1.0030033770691469</c:v>
                </c:pt>
                <c:pt idx="7">
                  <c:v>1.0212549194741396</c:v>
                </c:pt>
                <c:pt idx="8">
                  <c:v>1.0421448301392489</c:v>
                </c:pt>
                <c:pt idx="9">
                  <c:v>1.0253906794061116</c:v>
                </c:pt>
                <c:pt idx="10">
                  <c:v>1.0335579972813775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D2-49B9-921A-C65A99FC4953}"/>
            </c:ext>
          </c:extLst>
        </c:ser>
        <c:ser>
          <c:idx val="4"/>
          <c:order val="4"/>
          <c:tx>
            <c:strRef>
              <c:f>Base_Med_Tri!$P$71</c:f>
              <c:strCache>
                <c:ptCount val="1"/>
                <c:pt idx="0">
                  <c:v>2014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Base_Med_Tri!$Q$63:$AC$63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Base_Med_Tri!$Q$71:$AC$71</c:f>
              <c:numCache>
                <c:formatCode>0.000</c:formatCode>
                <c:ptCount val="13"/>
                <c:pt idx="0">
                  <c:v>1.9439799583471673</c:v>
                </c:pt>
                <c:pt idx="1">
                  <c:v>1.113009577898638</c:v>
                </c:pt>
                <c:pt idx="2">
                  <c:v>1.0943890412306481</c:v>
                </c:pt>
                <c:pt idx="3">
                  <c:v>1.0179966499162478</c:v>
                </c:pt>
                <c:pt idx="4">
                  <c:v>1.0090011456003491</c:v>
                </c:pt>
                <c:pt idx="5">
                  <c:v>1.002003582564851</c:v>
                </c:pt>
                <c:pt idx="6">
                  <c:v>1.0040066451675951</c:v>
                </c:pt>
                <c:pt idx="7">
                  <c:v>1.0158826532724337</c:v>
                </c:pt>
                <c:pt idx="8">
                  <c:v>1.0086365934651598</c:v>
                </c:pt>
                <c:pt idx="9">
                  <c:v>1.0255348799081891</c:v>
                </c:pt>
                <c:pt idx="10">
                  <c:v>1.0102008937667242</c:v>
                </c:pt>
                <c:pt idx="11">
                  <c:v>1.0249472559388444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D2-49B9-921A-C65A99FC4953}"/>
            </c:ext>
          </c:extLst>
        </c:ser>
        <c:ser>
          <c:idx val="5"/>
          <c:order val="5"/>
          <c:tx>
            <c:strRef>
              <c:f>Base_Med_Tri!$P$49</c:f>
              <c:strCache>
                <c:ptCount val="1"/>
                <c:pt idx="0">
                  <c:v>Selected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Base_Med_Tri!$Q$63:$AC$63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Base_Med_Tri!$Q$49:$AC$49</c:f>
              <c:numCache>
                <c:formatCode>0.000</c:formatCode>
                <c:ptCount val="13"/>
                <c:pt idx="0">
                  <c:v>1.966</c:v>
                </c:pt>
                <c:pt idx="1">
                  <c:v>1.1200000000000001</c:v>
                </c:pt>
                <c:pt idx="2">
                  <c:v>1.0529999999999999</c:v>
                </c:pt>
                <c:pt idx="3">
                  <c:v>1.018</c:v>
                </c:pt>
                <c:pt idx="4">
                  <c:v>1.01</c:v>
                </c:pt>
                <c:pt idx="5">
                  <c:v>1.004</c:v>
                </c:pt>
                <c:pt idx="6">
                  <c:v>1.0049999999999999</c:v>
                </c:pt>
                <c:pt idx="7">
                  <c:v>1.024</c:v>
                </c:pt>
                <c:pt idx="8">
                  <c:v>1.022</c:v>
                </c:pt>
                <c:pt idx="9">
                  <c:v>1.0209999999999999</c:v>
                </c:pt>
                <c:pt idx="10">
                  <c:v>1.022</c:v>
                </c:pt>
                <c:pt idx="11">
                  <c:v>1.0249999999999999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D2-49B9-921A-C65A99FC4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41000"/>
        <c:axId val="401634728"/>
      </c:scatterChart>
      <c:valAx>
        <c:axId val="4016410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401634728"/>
        <c:crosses val="autoZero"/>
        <c:crossBetween val="midCat"/>
        <c:majorUnit val="12"/>
      </c:valAx>
      <c:valAx>
        <c:axId val="401634728"/>
        <c:scaling>
          <c:orientation val="minMax"/>
          <c:min val="0.8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40164100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Incurred Loss Development Factors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Base_Med_Tri!$A$67</c:f>
              <c:strCache>
                <c:ptCount val="1"/>
                <c:pt idx="0">
                  <c:v>2010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Base_Med_Tri!$B$63:$M$63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Base_Med_Tri!$B$67:$M$67</c:f>
              <c:numCache>
                <c:formatCode>0.000</c:formatCode>
                <c:ptCount val="12"/>
                <c:pt idx="0">
                  <c:v>1.2389904790690645</c:v>
                </c:pt>
                <c:pt idx="1">
                  <c:v>1.0010029484267002</c:v>
                </c:pt>
                <c:pt idx="2">
                  <c:v>0.99400060371283394</c:v>
                </c:pt>
                <c:pt idx="3">
                  <c:v>0.98599815961600634</c:v>
                </c:pt>
                <c:pt idx="4">
                  <c:v>0.99399720739648445</c:v>
                </c:pt>
                <c:pt idx="5">
                  <c:v>0.98899282260397581</c:v>
                </c:pt>
                <c:pt idx="6">
                  <c:v>1.0039911488807136</c:v>
                </c:pt>
                <c:pt idx="7">
                  <c:v>1.0573672028361314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69-47E9-A673-49B0DAC968CF}"/>
            </c:ext>
          </c:extLst>
        </c:ser>
        <c:ser>
          <c:idx val="1"/>
          <c:order val="1"/>
          <c:tx>
            <c:strRef>
              <c:f>Base_Med_Tri!$A$68</c:f>
              <c:strCache>
                <c:ptCount val="1"/>
                <c:pt idx="0">
                  <c:v>2011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Base_Med_Tri!$B$63:$M$63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Base_Med_Tri!$B$68:$M$68</c:f>
              <c:numCache>
                <c:formatCode>0.000</c:formatCode>
                <c:ptCount val="12"/>
                <c:pt idx="0">
                  <c:v>1.262994146183223</c:v>
                </c:pt>
                <c:pt idx="1">
                  <c:v>1.0190037080405934</c:v>
                </c:pt>
                <c:pt idx="2">
                  <c:v>1.0030058305870424</c:v>
                </c:pt>
                <c:pt idx="3">
                  <c:v>0.98399362275562752</c:v>
                </c:pt>
                <c:pt idx="4">
                  <c:v>0.98900267366190786</c:v>
                </c:pt>
                <c:pt idx="5">
                  <c:v>0.98500741752110388</c:v>
                </c:pt>
                <c:pt idx="6">
                  <c:v>0.99401030784231792</c:v>
                </c:pt>
                <c:pt idx="7">
                  <c:v>1.030504211906919</c:v>
                </c:pt>
                <c:pt idx="8">
                  <c:v>1.0375460666685139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69-47E9-A673-49B0DAC968CF}"/>
            </c:ext>
          </c:extLst>
        </c:ser>
        <c:ser>
          <c:idx val="2"/>
          <c:order val="2"/>
          <c:tx>
            <c:strRef>
              <c:f>Base_Med_Tri!$A$69</c:f>
              <c:strCache>
                <c:ptCount val="1"/>
                <c:pt idx="0">
                  <c:v>2012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Base_Med_Tri!$B$63:$M$63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Base_Med_Tri!$B$69:$M$69</c:f>
              <c:numCache>
                <c:formatCode>0.000</c:formatCode>
                <c:ptCount val="12"/>
                <c:pt idx="0">
                  <c:v>1.3622923658609116</c:v>
                </c:pt>
                <c:pt idx="1">
                  <c:v>1.0049967894460334</c:v>
                </c:pt>
                <c:pt idx="2">
                  <c:v>0.99000502741136198</c:v>
                </c:pt>
                <c:pt idx="3">
                  <c:v>0.98399287502407085</c:v>
                </c:pt>
                <c:pt idx="4">
                  <c:v>0.98999562790936912</c:v>
                </c:pt>
                <c:pt idx="5">
                  <c:v>0.9830017852588625</c:v>
                </c:pt>
                <c:pt idx="6">
                  <c:v>1.0109957483106533</c:v>
                </c:pt>
                <c:pt idx="7">
                  <c:v>1.041605941704036</c:v>
                </c:pt>
                <c:pt idx="8">
                  <c:v>0.99755947148124335</c:v>
                </c:pt>
                <c:pt idx="9">
                  <c:v>0.98913043478260865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69-47E9-A673-49B0DAC968CF}"/>
            </c:ext>
          </c:extLst>
        </c:ser>
        <c:ser>
          <c:idx val="3"/>
          <c:order val="3"/>
          <c:tx>
            <c:strRef>
              <c:f>Base_Med_Tri!$A$70</c:f>
              <c:strCache>
                <c:ptCount val="1"/>
                <c:pt idx="0">
                  <c:v>2013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Base_Med_Tri!$B$63:$M$63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Base_Med_Tri!$B$70:$M$70</c:f>
              <c:numCache>
                <c:formatCode>0.000</c:formatCode>
                <c:ptCount val="12"/>
                <c:pt idx="0">
                  <c:v>1.2319974331158612</c:v>
                </c:pt>
                <c:pt idx="1">
                  <c:v>1.0568705107015519</c:v>
                </c:pt>
                <c:pt idx="2">
                  <c:v>0.97400183543789132</c:v>
                </c:pt>
                <c:pt idx="3">
                  <c:v>0.97499607046561965</c:v>
                </c:pt>
                <c:pt idx="4">
                  <c:v>0.99200078279801363</c:v>
                </c:pt>
                <c:pt idx="5">
                  <c:v>0.98701096274744116</c:v>
                </c:pt>
                <c:pt idx="6">
                  <c:v>0.99700338578489245</c:v>
                </c:pt>
                <c:pt idx="7">
                  <c:v>1.030005009623751</c:v>
                </c:pt>
                <c:pt idx="8">
                  <c:v>1.0571916748510002</c:v>
                </c:pt>
                <c:pt idx="9">
                  <c:v>1.0215055177765793</c:v>
                </c:pt>
                <c:pt idx="10">
                  <c:v>1.02010152010152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69-47E9-A673-49B0DAC968CF}"/>
            </c:ext>
          </c:extLst>
        </c:ser>
        <c:ser>
          <c:idx val="4"/>
          <c:order val="4"/>
          <c:tx>
            <c:strRef>
              <c:f>Base_Med_Tri!$A$71</c:f>
              <c:strCache>
                <c:ptCount val="1"/>
                <c:pt idx="0">
                  <c:v>2014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Base_Med_Tri!$B$63:$M$63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xVal>
          <c:yVal>
            <c:numRef>
              <c:f>Base_Med_Tri!$B$71:$M$71</c:f>
              <c:numCache>
                <c:formatCode>0.000</c:formatCode>
                <c:ptCount val="12"/>
                <c:pt idx="0">
                  <c:v>1.3340044039005976</c:v>
                </c:pt>
                <c:pt idx="1">
                  <c:v>1.0259943199434474</c:v>
                </c:pt>
                <c:pt idx="2">
                  <c:v>0.97774215123141084</c:v>
                </c:pt>
                <c:pt idx="3">
                  <c:v>0.9960045321724611</c:v>
                </c:pt>
                <c:pt idx="4">
                  <c:v>0.98924837857612324</c:v>
                </c:pt>
                <c:pt idx="5">
                  <c:v>0.98600562241073186</c:v>
                </c:pt>
                <c:pt idx="6">
                  <c:v>0.99699952624098542</c:v>
                </c:pt>
                <c:pt idx="7">
                  <c:v>1.0168496929322368</c:v>
                </c:pt>
                <c:pt idx="8">
                  <c:v>1.0072699347241776</c:v>
                </c:pt>
                <c:pt idx="9">
                  <c:v>1.0047467548994655</c:v>
                </c:pt>
                <c:pt idx="10">
                  <c:v>0.99133424325925168</c:v>
                </c:pt>
                <c:pt idx="11">
                  <c:v>0.99010097534507624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69-47E9-A673-49B0DAC968CF}"/>
            </c:ext>
          </c:extLst>
        </c:ser>
        <c:ser>
          <c:idx val="5"/>
          <c:order val="5"/>
          <c:tx>
            <c:strRef>
              <c:f>Base_Med_Tri!$A$49</c:f>
              <c:strCache>
                <c:ptCount val="1"/>
                <c:pt idx="0">
                  <c:v>Selected</c:v>
                </c:pt>
              </c:strCache>
            </c:strRef>
          </c:tx>
          <c:spPr>
            <a:ln w="31750">
              <a:noFill/>
            </a:ln>
          </c:spPr>
          <c:xVal>
            <c:numRef>
              <c:f>Base_Med_Tri!$B$63:$N$63</c:f>
              <c:numCache>
                <c:formatCode>General</c:formatCode>
                <c:ptCount val="13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</c:numCache>
            </c:numRef>
          </c:xVal>
          <c:yVal>
            <c:numRef>
              <c:f>Base_Med_Tri!$B$49:$N$49</c:f>
              <c:numCache>
                <c:formatCode>0.000</c:formatCode>
                <c:ptCount val="13"/>
                <c:pt idx="0">
                  <c:v>1.2869999999999999</c:v>
                </c:pt>
                <c:pt idx="1">
                  <c:v>1.0089999999999999</c:v>
                </c:pt>
                <c:pt idx="2">
                  <c:v>1</c:v>
                </c:pt>
                <c:pt idx="3">
                  <c:v>1</c:v>
                </c:pt>
                <c:pt idx="4">
                  <c:v>1.022</c:v>
                </c:pt>
                <c:pt idx="5">
                  <c:v>1</c:v>
                </c:pt>
                <c:pt idx="6">
                  <c:v>1.0009999999999999</c:v>
                </c:pt>
                <c:pt idx="7">
                  <c:v>1.03</c:v>
                </c:pt>
                <c:pt idx="8">
                  <c:v>1.024</c:v>
                </c:pt>
                <c:pt idx="9">
                  <c:v>1.0049999999999999</c:v>
                </c:pt>
                <c:pt idx="10">
                  <c:v>1.0049999999999999</c:v>
                </c:pt>
                <c:pt idx="11">
                  <c:v>1.01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69-47E9-A673-49B0DAC96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972384"/>
        <c:axId val="525973168"/>
      </c:scatterChart>
      <c:valAx>
        <c:axId val="52597238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525973168"/>
        <c:crosses val="autoZero"/>
        <c:crossBetween val="midCat"/>
        <c:majorUnit val="12"/>
      </c:valAx>
      <c:valAx>
        <c:axId val="525973168"/>
        <c:scaling>
          <c:orientation val="minMax"/>
          <c:min val="0.9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525972384"/>
        <c:crosses val="autoZero"/>
        <c:crossBetween val="midCat"/>
        <c:majorUnit val="0.1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</a:t>
            </a:r>
            <a:r>
              <a:rPr lang="en-US" baseline="0"/>
              <a:t> of Ultimate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'% of Ult'!$B$5</c:f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'% of Ult'!$A$6:$A$17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cat>
          <c:val>
            <c:numRef>
              <c:f>'% of Ult'!$B$6:$B$17</c:f>
              <c:numCache>
                <c:formatCode>0.0%</c:formatCode>
                <c:ptCount val="12"/>
                <c:pt idx="0">
                  <c:v>0.13157495905050398</c:v>
                </c:pt>
                <c:pt idx="1">
                  <c:v>0.37237006645452964</c:v>
                </c:pt>
                <c:pt idx="2">
                  <c:v>0.57464340177920825</c:v>
                </c:pt>
                <c:pt idx="3">
                  <c:v>0.70594581423487079</c:v>
                </c:pt>
                <c:pt idx="4">
                  <c:v>0.79023574445451428</c:v>
                </c:pt>
                <c:pt idx="5">
                  <c:v>0.83808451878123524</c:v>
                </c:pt>
                <c:pt idx="6">
                  <c:v>0.86440037267096603</c:v>
                </c:pt>
                <c:pt idx="7">
                  <c:v>0.88043499958401217</c:v>
                </c:pt>
                <c:pt idx="8">
                  <c:v>0.89651019705792312</c:v>
                </c:pt>
                <c:pt idx="9">
                  <c:v>0.91212644196601089</c:v>
                </c:pt>
                <c:pt idx="10">
                  <c:v>0.97376172250439308</c:v>
                </c:pt>
                <c:pt idx="11">
                  <c:v>0.99304220460997994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A-41A4-81B2-CD77971F1CCA}"/>
            </c:ext>
          </c:extLst>
        </c:ser>
        <c:ser>
          <c:idx val="1"/>
          <c:order val="1"/>
          <c:tx>
            <c:strRef>
              <c:f>'% of Ult'!$C$5</c:f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'% of Ult'!$A$6:$A$17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cat>
          <c:val>
            <c:numRef>
              <c:f>'% of Ult'!$C$6:$C$17</c:f>
              <c:numCache>
                <c:formatCode>0.0%</c:formatCode>
                <c:ptCount val="12"/>
                <c:pt idx="0">
                  <c:v>0.37140676554507851</c:v>
                </c:pt>
                <c:pt idx="1">
                  <c:v>0.73018570106162428</c:v>
                </c:pt>
                <c:pt idx="2">
                  <c:v>0.81780798518901932</c:v>
                </c:pt>
                <c:pt idx="3">
                  <c:v>0.86115180840403738</c:v>
                </c:pt>
                <c:pt idx="4">
                  <c:v>0.87665254095530998</c:v>
                </c:pt>
                <c:pt idx="5">
                  <c:v>0.88541906636486312</c:v>
                </c:pt>
                <c:pt idx="6">
                  <c:v>0.88896074263032243</c:v>
                </c:pt>
                <c:pt idx="7">
                  <c:v>0.89340554634347402</c:v>
                </c:pt>
                <c:pt idx="8">
                  <c:v>0.91484727945571742</c:v>
                </c:pt>
                <c:pt idx="9">
                  <c:v>0.93497391960374321</c:v>
                </c:pt>
                <c:pt idx="10">
                  <c:v>0.95460837191542169</c:v>
                </c:pt>
                <c:pt idx="11">
                  <c:v>0.97560975609756106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5A-41A4-81B2-CD77971F1CCA}"/>
            </c:ext>
          </c:extLst>
        </c:ser>
        <c:ser>
          <c:idx val="2"/>
          <c:order val="2"/>
          <c:tx>
            <c:strRef>
              <c:f>'% of Ult'!$D$5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'% of Ult'!$A$6:$A$17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cat>
          <c:val>
            <c:numRef>
              <c:f>'% of Ult'!$D$6:$D$17</c:f>
              <c:numCache>
                <c:formatCode>0.0%</c:formatCode>
                <c:ptCount val="12"/>
                <c:pt idx="0">
                  <c:v>0.65517910804140056</c:v>
                </c:pt>
                <c:pt idx="1">
                  <c:v>0.89614316693893004</c:v>
                </c:pt>
                <c:pt idx="2">
                  <c:v>0.99946467426373242</c:v>
                </c:pt>
                <c:pt idx="3">
                  <c:v>1.0229071946230999</c:v>
                </c:pt>
                <c:pt idx="4">
                  <c:v>1.0215399387832198</c:v>
                </c:pt>
                <c:pt idx="5">
                  <c:v>1.0157531593102656</c:v>
                </c:pt>
                <c:pt idx="6">
                  <c:v>1.0133868534950741</c:v>
                </c:pt>
                <c:pt idx="7">
                  <c:v>1.0059518088565629</c:v>
                </c:pt>
                <c:pt idx="8">
                  <c:v>1.0128162162989625</c:v>
                </c:pt>
                <c:pt idx="9">
                  <c:v>1.0126158916427044</c:v>
                </c:pt>
                <c:pt idx="10">
                  <c:v>1.0066507878792481</c:v>
                </c:pt>
                <c:pt idx="11">
                  <c:v>1.0121457489878543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5A-41A4-81B2-CD77971F1CCA}"/>
            </c:ext>
          </c:extLst>
        </c:ser>
        <c:ser>
          <c:idx val="3"/>
          <c:order val="3"/>
          <c:tx>
            <c:strRef>
              <c:f>'% of Ult'!$E$5</c:f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'% of Ult'!$A$6:$A$17</c:f>
              <c:numCache>
                <c:formatCode>General</c:formatCode>
                <c:ptCount val="12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</c:numCache>
            </c:numRef>
          </c:cat>
          <c:val>
            <c:numRef>
              <c:f>'% of Ult'!$E$6:$E$17</c:f>
              <c:numCache>
                <c:formatCode>0.0%</c:formatCode>
                <c:ptCount val="12"/>
                <c:pt idx="0">
                  <c:v>0.699607787293407</c:v>
                </c:pt>
                <c:pt idx="1">
                  <c:v>0.90039522224661472</c:v>
                </c:pt>
                <c:pt idx="2">
                  <c:v>0.90849877924683409</c:v>
                </c:pt>
                <c:pt idx="3">
                  <c:v>0.90849877924683409</c:v>
                </c:pt>
                <c:pt idx="4">
                  <c:v>0.90849877924683409</c:v>
                </c:pt>
                <c:pt idx="5">
                  <c:v>0.92848575239026443</c:v>
                </c:pt>
                <c:pt idx="6">
                  <c:v>0.92848575239026443</c:v>
                </c:pt>
                <c:pt idx="7">
                  <c:v>0.92941423814265445</c:v>
                </c:pt>
                <c:pt idx="8">
                  <c:v>0.95729666528693402</c:v>
                </c:pt>
                <c:pt idx="9">
                  <c:v>0.98027178525382053</c:v>
                </c:pt>
                <c:pt idx="10">
                  <c:v>0.98517314418008961</c:v>
                </c:pt>
                <c:pt idx="11">
                  <c:v>0.99009900990099009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5A-41A4-81B2-CD77971F1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974344"/>
        <c:axId val="525970816"/>
      </c:lineChart>
      <c:catAx>
        <c:axId val="52597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70816"/>
        <c:crosses val="autoZero"/>
        <c:auto val="1"/>
        <c:lblAlgn val="ctr"/>
        <c:lblOffset val="100"/>
        <c:noMultiLvlLbl val="0"/>
      </c:catAx>
      <c:valAx>
        <c:axId val="5259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7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2952608</xdr:colOff>
      <xdr:row>33</xdr:row>
      <xdr:rowOff>114585</xdr:rowOff>
    </xdr:from>
    <xdr:to>
      <xdr:col>4</xdr:col>
      <xdr:colOff>4165411</xdr:colOff>
      <xdr:row>41</xdr:row>
      <xdr:rowOff>16244</xdr:rowOff>
    </xdr:to>
    <xdr:pic>
      <xdr:nvPicPr>
        <xdr:cNvPr id="2" name="Picture 1" descr="CAS Student Central Logo blue ta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05308" y="5610510"/>
          <a:ext cx="4270328" cy="12923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71</xdr:row>
      <xdr:rowOff>152399</xdr:rowOff>
    </xdr:from>
    <xdr:to>
      <xdr:col>12</xdr:col>
      <xdr:colOff>556260</xdr:colOff>
      <xdr:row>90</xdr:row>
      <xdr:rowOff>38099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99060</xdr:colOff>
      <xdr:row>72</xdr:row>
      <xdr:rowOff>30480</xdr:rowOff>
    </xdr:from>
    <xdr:to>
      <xdr:col>28</xdr:col>
      <xdr:colOff>640080</xdr:colOff>
      <xdr:row>90</xdr:row>
      <xdr:rowOff>131445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71</xdr:row>
      <xdr:rowOff>142875</xdr:rowOff>
    </xdr:from>
    <xdr:to>
      <xdr:col>30</xdr:col>
      <xdr:colOff>142875</xdr:colOff>
      <xdr:row>92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504825</xdr:colOff>
      <xdr:row>93</xdr:row>
      <xdr:rowOff>66675</xdr:rowOff>
    </xdr:from>
    <xdr:to>
      <xdr:col>30</xdr:col>
      <xdr:colOff>38100</xdr:colOff>
      <xdr:row>113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8</xdr:row>
      <xdr:rowOff>68580</xdr:rowOff>
    </xdr:from>
    <xdr:to>
      <xdr:col>15</xdr:col>
      <xdr:colOff>358140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l83157/AppData/Local/Microsoft/Windows/Temporary%20Internet%20Files/Content.Outlook/PCXBY0X9/4%20-%20Case%20Study%20Data%20Workbook%20-%20Auto%20Risk%20Manag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Inputs"/>
      <sheetName val="0. Adjust losses for new book"/>
      <sheetName val="1. Loss Development Factor"/>
      <sheetName val="2. Loss Trend Factor -- 1"/>
      <sheetName val="2. Loss Trend Factor -- 2"/>
      <sheetName val="3. ULAE Factor"/>
      <sheetName val="4. Expected loss and loss rat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asact.org/library/studynotes/Friedland_estimating.pdf" TargetMode="External"/><Relationship Id="rId1" Type="http://schemas.openxmlformats.org/officeDocument/2006/relationships/hyperlink" Target="http://www.casact.org/library/studynotes/Friedland_estimating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52"/>
  <sheetViews>
    <sheetView showGridLines="0" topLeftCell="D5" zoomScale="221" zoomScaleNormal="87" zoomScalePageLayoutView="87" workbookViewId="0">
      <selection activeCell="E16" sqref="E16"/>
    </sheetView>
  </sheetViews>
  <sheetFormatPr defaultColWidth="8.85546875" defaultRowHeight="12.95"/>
  <cols>
    <col min="1" max="1" width="8.7109375" style="42" customWidth="1"/>
    <col min="2" max="2" width="8.85546875" style="42" customWidth="1"/>
    <col min="3" max="3" width="20.7109375" style="42" customWidth="1"/>
    <col min="4" max="4" width="45.85546875" style="42" customWidth="1"/>
    <col min="5" max="5" width="163.85546875" style="42" customWidth="1"/>
    <col min="6" max="6" width="8.85546875" style="42" customWidth="1"/>
    <col min="7" max="16384" width="8.85546875" style="42"/>
  </cols>
  <sheetData>
    <row r="2" spans="2:8">
      <c r="B2" s="41" t="s">
        <v>0</v>
      </c>
    </row>
    <row r="4" spans="2:8" ht="14.25" customHeight="1">
      <c r="B4" s="42" t="s">
        <v>1</v>
      </c>
      <c r="C4" s="43" t="s">
        <v>2</v>
      </c>
    </row>
    <row r="5" spans="2:8" ht="14.25" customHeight="1">
      <c r="C5" s="43"/>
      <c r="D5" s="43"/>
      <c r="E5" s="43"/>
      <c r="F5" s="43"/>
      <c r="G5" s="43"/>
      <c r="H5" s="43"/>
    </row>
    <row r="6" spans="2:8" ht="14.25" customHeight="1">
      <c r="C6" s="69" t="s">
        <v>3</v>
      </c>
      <c r="D6" s="68" t="s">
        <v>4</v>
      </c>
      <c r="E6" s="44" t="s">
        <v>5</v>
      </c>
      <c r="F6" s="43"/>
      <c r="G6" s="43"/>
      <c r="H6" s="43"/>
    </row>
    <row r="7" spans="2:8" ht="14.25" customHeight="1">
      <c r="C7" s="94">
        <v>1</v>
      </c>
      <c r="D7" s="92" t="s">
        <v>6</v>
      </c>
      <c r="E7" s="44" t="s">
        <v>7</v>
      </c>
      <c r="F7" s="43"/>
      <c r="G7" s="43"/>
      <c r="H7" s="43"/>
    </row>
    <row r="8" spans="2:8" ht="14.25" customHeight="1">
      <c r="C8" s="100"/>
      <c r="D8" s="95"/>
      <c r="E8" s="45" t="s">
        <v>8</v>
      </c>
      <c r="F8" s="43"/>
      <c r="G8" s="43"/>
      <c r="H8" s="43"/>
    </row>
    <row r="9" spans="2:8">
      <c r="C9" s="101"/>
      <c r="D9" s="93"/>
      <c r="E9" s="46" t="s">
        <v>9</v>
      </c>
    </row>
    <row r="10" spans="2:8">
      <c r="C10" s="91">
        <v>2</v>
      </c>
      <c r="D10" s="92" t="s">
        <v>10</v>
      </c>
      <c r="E10" s="44" t="s">
        <v>11</v>
      </c>
    </row>
    <row r="11" spans="2:8">
      <c r="C11" s="91"/>
      <c r="D11" s="95"/>
      <c r="E11" s="46" t="s">
        <v>12</v>
      </c>
    </row>
    <row r="12" spans="2:8">
      <c r="C12" s="91"/>
      <c r="D12" s="93"/>
      <c r="E12" s="46" t="s">
        <v>13</v>
      </c>
    </row>
    <row r="13" spans="2:8">
      <c r="C13" s="99">
        <v>3</v>
      </c>
      <c r="D13" s="92" t="s">
        <v>14</v>
      </c>
      <c r="E13" s="44" t="s">
        <v>15</v>
      </c>
    </row>
    <row r="14" spans="2:8">
      <c r="C14" s="99"/>
      <c r="D14" s="95"/>
      <c r="E14" s="46" t="s">
        <v>16</v>
      </c>
    </row>
    <row r="15" spans="2:8">
      <c r="C15" s="99"/>
      <c r="D15" s="93"/>
      <c r="E15" s="46" t="s">
        <v>17</v>
      </c>
    </row>
    <row r="16" spans="2:8" ht="14.25" customHeight="1">
      <c r="C16" s="91">
        <v>4</v>
      </c>
      <c r="D16" s="92" t="s">
        <v>6</v>
      </c>
      <c r="E16" s="44" t="s">
        <v>18</v>
      </c>
      <c r="F16" s="43"/>
      <c r="G16" s="43"/>
      <c r="H16" s="43"/>
    </row>
    <row r="17" spans="2:8" ht="14.25" customHeight="1">
      <c r="C17" s="91"/>
      <c r="D17" s="95"/>
      <c r="E17" s="47" t="s">
        <v>19</v>
      </c>
      <c r="F17" s="43"/>
      <c r="G17" s="43"/>
      <c r="H17" s="43"/>
    </row>
    <row r="18" spans="2:8" ht="14.25" customHeight="1">
      <c r="C18" s="94"/>
      <c r="D18" s="95"/>
      <c r="E18" s="47" t="s">
        <v>20</v>
      </c>
      <c r="F18" s="43"/>
      <c r="G18" s="43"/>
      <c r="H18" s="43"/>
    </row>
    <row r="19" spans="2:8" ht="14.25" customHeight="1">
      <c r="C19" s="48"/>
      <c r="D19" s="48"/>
      <c r="E19" s="48"/>
      <c r="F19" s="43"/>
      <c r="G19" s="43"/>
      <c r="H19" s="43"/>
    </row>
    <row r="20" spans="2:8" ht="14.25" customHeight="1">
      <c r="B20" s="42" t="s">
        <v>21</v>
      </c>
      <c r="C20" s="43" t="s">
        <v>22</v>
      </c>
      <c r="D20" s="43"/>
      <c r="E20" s="43"/>
      <c r="F20" s="43"/>
      <c r="G20" s="43"/>
      <c r="H20" s="43"/>
    </row>
    <row r="21" spans="2:8" ht="14.25" customHeight="1">
      <c r="C21" s="43"/>
      <c r="D21" s="43"/>
      <c r="E21" s="43"/>
      <c r="F21" s="43"/>
      <c r="G21" s="43"/>
      <c r="H21" s="43"/>
    </row>
    <row r="22" spans="2:8" ht="14.25" customHeight="1">
      <c r="C22" s="69" t="s">
        <v>3</v>
      </c>
      <c r="D22" s="68" t="s">
        <v>4</v>
      </c>
      <c r="E22" s="44" t="s">
        <v>5</v>
      </c>
    </row>
    <row r="23" spans="2:8" ht="14.25" customHeight="1">
      <c r="C23" s="96">
        <v>1</v>
      </c>
      <c r="D23" s="96" t="s">
        <v>23</v>
      </c>
      <c r="E23" s="44" t="s">
        <v>24</v>
      </c>
      <c r="F23" s="43"/>
      <c r="G23" s="43"/>
      <c r="H23" s="43"/>
    </row>
    <row r="24" spans="2:8" ht="14.25" customHeight="1">
      <c r="C24" s="97"/>
      <c r="D24" s="97"/>
      <c r="E24" s="45" t="s">
        <v>8</v>
      </c>
      <c r="F24" s="43"/>
      <c r="G24" s="43"/>
      <c r="H24" s="43"/>
    </row>
    <row r="25" spans="2:8" ht="14.25" customHeight="1">
      <c r="C25" s="98"/>
      <c r="D25" s="98"/>
      <c r="E25" s="46" t="s">
        <v>9</v>
      </c>
    </row>
    <row r="26" spans="2:8" ht="14.25" customHeight="1">
      <c r="C26" s="69">
        <v>2</v>
      </c>
      <c r="D26" s="66" t="s">
        <v>25</v>
      </c>
      <c r="E26" s="49" t="s">
        <v>26</v>
      </c>
    </row>
    <row r="27" spans="2:8">
      <c r="C27" s="99">
        <v>3</v>
      </c>
      <c r="D27" s="66"/>
      <c r="E27" s="49" t="s">
        <v>27</v>
      </c>
    </row>
    <row r="28" spans="2:8" ht="14.1">
      <c r="C28" s="99"/>
      <c r="D28" s="67" t="s">
        <v>28</v>
      </c>
      <c r="E28" s="50" t="s">
        <v>29</v>
      </c>
    </row>
    <row r="29" spans="2:8">
      <c r="C29" s="91">
        <v>4</v>
      </c>
      <c r="D29" s="92" t="s">
        <v>30</v>
      </c>
      <c r="E29" s="49" t="s">
        <v>31</v>
      </c>
    </row>
    <row r="30" spans="2:8">
      <c r="C30" s="91"/>
      <c r="D30" s="93"/>
      <c r="E30" s="50" t="s">
        <v>29</v>
      </c>
    </row>
    <row r="31" spans="2:8">
      <c r="C31" s="91">
        <v>5</v>
      </c>
      <c r="D31" s="92" t="s">
        <v>23</v>
      </c>
      <c r="E31" s="44" t="s">
        <v>32</v>
      </c>
    </row>
    <row r="32" spans="2:8">
      <c r="C32" s="91"/>
      <c r="D32" s="93"/>
      <c r="E32" s="47" t="s">
        <v>33</v>
      </c>
    </row>
    <row r="33" spans="2:5">
      <c r="E33" s="51"/>
    </row>
    <row r="36" spans="2:5" ht="14.25" customHeight="1"/>
    <row r="37" spans="2:5" ht="14.25" customHeight="1">
      <c r="B37" s="52"/>
    </row>
    <row r="38" spans="2:5" ht="14.25" customHeight="1"/>
    <row r="39" spans="2:5" ht="14.25" customHeight="1">
      <c r="B39" s="52"/>
      <c r="C39" s="53"/>
    </row>
    <row r="40" spans="2:5" ht="14.25" customHeight="1"/>
    <row r="41" spans="2:5" ht="14.25" customHeight="1">
      <c r="C41" s="53"/>
    </row>
    <row r="42" spans="2:5" ht="14.25" customHeight="1"/>
    <row r="43" spans="2:5" ht="14.25" customHeight="1"/>
    <row r="44" spans="2:5" ht="14.25" customHeight="1"/>
    <row r="45" spans="2:5" ht="14.25" customHeight="1"/>
    <row r="46" spans="2:5" ht="14.25" customHeight="1">
      <c r="B46" s="52"/>
    </row>
    <row r="47" spans="2:5" s="54" customFormat="1" ht="14.25" customHeight="1">
      <c r="C47" s="42"/>
      <c r="D47" s="42"/>
      <c r="E47" s="42"/>
    </row>
    <row r="48" spans="2:5" s="54" customFormat="1" ht="14.25" customHeight="1"/>
    <row r="49" spans="3:5" s="54" customFormat="1" ht="14.25" customHeight="1"/>
    <row r="50" spans="3:5" s="54" customFormat="1" ht="14.25" customHeight="1"/>
    <row r="51" spans="3:5" s="54" customFormat="1" ht="14.25" customHeight="1"/>
    <row r="52" spans="3:5">
      <c r="C52" s="54"/>
      <c r="D52" s="54"/>
      <c r="E52" s="54"/>
    </row>
  </sheetData>
  <mergeCells count="15">
    <mergeCell ref="C7:C9"/>
    <mergeCell ref="D7:D9"/>
    <mergeCell ref="C10:C12"/>
    <mergeCell ref="D10:D12"/>
    <mergeCell ref="C13:C15"/>
    <mergeCell ref="D13:D15"/>
    <mergeCell ref="C31:C32"/>
    <mergeCell ref="D31:D32"/>
    <mergeCell ref="C16:C18"/>
    <mergeCell ref="D16:D18"/>
    <mergeCell ref="C23:C25"/>
    <mergeCell ref="D23:D25"/>
    <mergeCell ref="C27:C28"/>
    <mergeCell ref="C29:C30"/>
    <mergeCell ref="D29:D30"/>
  </mergeCells>
  <hyperlinks>
    <hyperlink ref="E8" r:id="rId1" xr:uid="{00000000-0004-0000-0000-000000000000}"/>
    <hyperlink ref="E24" r:id="rId2" xr:uid="{00000000-0004-0000-0000-000001000000}"/>
  </hyperlinks>
  <pageMargins left="0.2" right="0.2" top="0.25" bottom="0.25" header="0.3" footer="0.3"/>
  <pageSetup scale="56" orientation="landscape" r:id="rId3"/>
  <headerFooter>
    <oddFooter>&amp;C© 2014 by the Casualty Actuarial Society. All rights reserved.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tabColor theme="4" tint="0.39997558519241921"/>
    <pageSetUpPr fitToPage="1"/>
  </sheetPr>
  <dimension ref="B2:Y47"/>
  <sheetViews>
    <sheetView view="pageBreakPreview" zoomScale="60" zoomScaleNormal="100" workbookViewId="0">
      <selection activeCell="B2" sqref="B2"/>
    </sheetView>
  </sheetViews>
  <sheetFormatPr defaultColWidth="9.140625" defaultRowHeight="12.95"/>
  <cols>
    <col min="1" max="1" width="9.140625" style="23" customWidth="1"/>
    <col min="2" max="2" width="9.140625" style="23"/>
    <col min="3" max="5" width="11.42578125" style="23" bestFit="1" customWidth="1"/>
    <col min="6" max="6" width="12.28515625" style="23" bestFit="1" customWidth="1"/>
    <col min="7" max="8" width="11.42578125" style="23" bestFit="1" customWidth="1"/>
    <col min="9" max="10" width="8.85546875" style="23" customWidth="1"/>
    <col min="11" max="11" width="11.42578125" style="23" bestFit="1" customWidth="1"/>
    <col min="12" max="13" width="9.28515625" style="23" bestFit="1" customWidth="1"/>
    <col min="14" max="14" width="10.42578125" style="23" bestFit="1" customWidth="1"/>
    <col min="15" max="15" width="9.140625" style="23"/>
    <col min="16" max="16" width="8.42578125" style="23" bestFit="1" customWidth="1"/>
    <col min="17" max="17" width="11.42578125" style="23" customWidth="1"/>
    <col min="18" max="18" width="11" style="23" customWidth="1"/>
    <col min="19" max="19" width="10.85546875" style="23" bestFit="1" customWidth="1"/>
    <col min="20" max="20" width="15.85546875" style="23" bestFit="1" customWidth="1"/>
    <col min="21" max="21" width="9.140625" style="23"/>
    <col min="22" max="22" width="10" style="23" customWidth="1"/>
    <col min="23" max="23" width="11" style="23" bestFit="1" customWidth="1"/>
    <col min="24" max="24" width="10.85546875" style="23" bestFit="1" customWidth="1"/>
    <col min="25" max="25" width="15.85546875" style="23" bestFit="1" customWidth="1"/>
    <col min="26" max="16384" width="9.140625" style="23"/>
  </cols>
  <sheetData>
    <row r="2" spans="2:25">
      <c r="B2" s="26" t="s">
        <v>34</v>
      </c>
    </row>
    <row r="3" spans="2:25">
      <c r="B3" s="26" t="s">
        <v>35</v>
      </c>
      <c r="Q3" s="26" t="s">
        <v>36</v>
      </c>
      <c r="V3" s="26" t="s">
        <v>36</v>
      </c>
    </row>
    <row r="4" spans="2:25">
      <c r="B4" s="23" t="s">
        <v>37</v>
      </c>
      <c r="Q4" s="26" t="s">
        <v>38</v>
      </c>
      <c r="V4" s="26" t="s">
        <v>39</v>
      </c>
    </row>
    <row r="5" spans="2:25" ht="14.1" thickBot="1"/>
    <row r="6" spans="2:25">
      <c r="B6" s="55"/>
      <c r="C6" s="55"/>
      <c r="D6" s="55"/>
      <c r="E6" s="55"/>
      <c r="F6" s="55" t="s">
        <v>40</v>
      </c>
      <c r="G6" s="102" t="s">
        <v>41</v>
      </c>
      <c r="H6" s="102"/>
      <c r="I6" s="102" t="s">
        <v>42</v>
      </c>
      <c r="J6" s="102"/>
      <c r="K6" s="103" t="s">
        <v>43</v>
      </c>
      <c r="L6" s="103"/>
      <c r="M6" s="103"/>
      <c r="N6" s="103"/>
      <c r="Q6" s="27" t="s">
        <v>44</v>
      </c>
      <c r="R6" s="28" t="s">
        <v>45</v>
      </c>
      <c r="S6" s="28" t="s">
        <v>46</v>
      </c>
      <c r="T6" s="29" t="s">
        <v>47</v>
      </c>
      <c r="V6" s="27" t="s">
        <v>44</v>
      </c>
      <c r="W6" s="28" t="s">
        <v>45</v>
      </c>
      <c r="X6" s="28" t="s">
        <v>46</v>
      </c>
      <c r="Y6" s="29" t="s">
        <v>47</v>
      </c>
    </row>
    <row r="7" spans="2:25">
      <c r="B7" s="55" t="s">
        <v>44</v>
      </c>
      <c r="C7" s="55" t="s">
        <v>48</v>
      </c>
      <c r="D7" s="103" t="str">
        <f>"Claims at 12/31/" &amp; B23</f>
        <v>Claims at 12/31/2015</v>
      </c>
      <c r="E7" s="103"/>
      <c r="F7" s="55" t="s">
        <v>49</v>
      </c>
      <c r="G7" s="103" t="s">
        <v>50</v>
      </c>
      <c r="H7" s="103"/>
      <c r="I7" s="103" t="s">
        <v>51</v>
      </c>
      <c r="J7" s="103"/>
      <c r="K7" s="103" t="s">
        <v>52</v>
      </c>
      <c r="L7" s="103"/>
      <c r="M7" s="103" t="s">
        <v>53</v>
      </c>
      <c r="N7" s="103"/>
      <c r="Q7" s="30" t="s">
        <v>54</v>
      </c>
      <c r="R7" s="24" t="s">
        <v>55</v>
      </c>
      <c r="S7" s="24" t="s">
        <v>56</v>
      </c>
      <c r="T7" s="31" t="s">
        <v>57</v>
      </c>
      <c r="V7" s="30" t="s">
        <v>54</v>
      </c>
      <c r="W7" s="24" t="s">
        <v>55</v>
      </c>
      <c r="X7" s="24" t="s">
        <v>56</v>
      </c>
      <c r="Y7" s="31" t="s">
        <v>57</v>
      </c>
    </row>
    <row r="8" spans="2:25">
      <c r="B8" s="70" t="s">
        <v>54</v>
      </c>
      <c r="C8" s="70" t="s">
        <v>58</v>
      </c>
      <c r="D8" s="70" t="s">
        <v>45</v>
      </c>
      <c r="E8" s="70" t="s">
        <v>59</v>
      </c>
      <c r="F8" s="70" t="str">
        <f>"At 12/31/" &amp; B23</f>
        <v>At 12/31/2015</v>
      </c>
      <c r="G8" s="70" t="s">
        <v>45</v>
      </c>
      <c r="H8" s="70" t="s">
        <v>59</v>
      </c>
      <c r="I8" s="70" t="s">
        <v>45</v>
      </c>
      <c r="J8" s="70" t="s">
        <v>59</v>
      </c>
      <c r="K8" s="70" t="s">
        <v>45</v>
      </c>
      <c r="L8" s="70" t="s">
        <v>59</v>
      </c>
      <c r="M8" s="70" t="s">
        <v>45</v>
      </c>
      <c r="N8" s="70" t="s">
        <v>59</v>
      </c>
      <c r="Q8" s="32">
        <f>Base_Indem_Tri!R8</f>
        <v>2003</v>
      </c>
      <c r="R8" s="25">
        <f>Base_Indem_Tri!AE8</f>
        <v>71881.089000000007</v>
      </c>
      <c r="S8" s="35">
        <f>Base_Indem_Tri!$AE$57</f>
        <v>1.0000065</v>
      </c>
      <c r="T8" s="36">
        <f>R8*S8</f>
        <v>71881.556227078516</v>
      </c>
      <c r="V8" s="32">
        <f t="shared" ref="V8:V20" si="0">Q8</f>
        <v>2003</v>
      </c>
      <c r="W8" s="25">
        <f>Base_Med_Tri!AC8</f>
        <v>74815</v>
      </c>
      <c r="X8" s="35">
        <f>Base_Med_Tri!$AC$57</f>
        <v>1</v>
      </c>
      <c r="Y8" s="36">
        <f>W8*X8</f>
        <v>74815</v>
      </c>
    </row>
    <row r="9" spans="2:25">
      <c r="B9" s="62">
        <v>-1</v>
      </c>
      <c r="C9" s="62">
        <f>B9-1</f>
        <v>-2</v>
      </c>
      <c r="D9" s="62">
        <f t="shared" ref="D9:N9" si="1">C9-1</f>
        <v>-3</v>
      </c>
      <c r="E9" s="62">
        <f t="shared" si="1"/>
        <v>-4</v>
      </c>
      <c r="F9" s="62">
        <f t="shared" si="1"/>
        <v>-5</v>
      </c>
      <c r="G9" s="62">
        <f t="shared" si="1"/>
        <v>-6</v>
      </c>
      <c r="H9" s="62">
        <f t="shared" si="1"/>
        <v>-7</v>
      </c>
      <c r="I9" s="62">
        <f t="shared" si="1"/>
        <v>-8</v>
      </c>
      <c r="J9" s="62">
        <f t="shared" si="1"/>
        <v>-9</v>
      </c>
      <c r="K9" s="62">
        <f t="shared" si="1"/>
        <v>-10</v>
      </c>
      <c r="L9" s="62">
        <f t="shared" si="1"/>
        <v>-11</v>
      </c>
      <c r="M9" s="62">
        <f t="shared" si="1"/>
        <v>-12</v>
      </c>
      <c r="N9" s="62">
        <f t="shared" si="1"/>
        <v>-13</v>
      </c>
      <c r="Q9" s="32">
        <f>Base_Indem_Tri!R9</f>
        <v>2004</v>
      </c>
      <c r="R9" s="25">
        <f>Base_Indem_Tri!AD9</f>
        <v>72728.843664390704</v>
      </c>
      <c r="S9" s="35">
        <f>Base_Indem_Tri!AD57</f>
        <v>1.0070065454999999</v>
      </c>
      <c r="T9" s="36">
        <f t="shared" ref="T9:T20" si="2">R9*S9</f>
        <v>73238.421616687643</v>
      </c>
      <c r="V9" s="32">
        <f t="shared" si="0"/>
        <v>2004</v>
      </c>
      <c r="W9" s="25">
        <f>Base_Med_Tri!AB9</f>
        <v>74372</v>
      </c>
      <c r="X9" s="35">
        <f>Base_Med_Tri!AB57</f>
        <v>1.0249999999999999</v>
      </c>
      <c r="Y9" s="36">
        <f t="shared" ref="Y9:Y20" si="3">W9*X9</f>
        <v>76231.299999999988</v>
      </c>
    </row>
    <row r="10" spans="2:25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Q10" s="32">
        <f>Base_Indem_Tri!R10</f>
        <v>2005</v>
      </c>
      <c r="R10" s="25">
        <f>Base_Indem_Tri!AC10</f>
        <v>67848.68456158253</v>
      </c>
      <c r="S10" s="35">
        <f>Base_Indem_Tri!AC57</f>
        <v>1.0269452751008998</v>
      </c>
      <c r="T10" s="36">
        <f t="shared" si="2"/>
        <v>69676.886032328548</v>
      </c>
      <c r="V10" s="32">
        <f t="shared" si="0"/>
        <v>2005</v>
      </c>
      <c r="W10" s="25">
        <f>Base_Med_Tri!AA10</f>
        <v>75063</v>
      </c>
      <c r="X10" s="35">
        <f>Base_Med_Tri!AA57</f>
        <v>1.04755</v>
      </c>
      <c r="Y10" s="36">
        <f t="shared" si="3"/>
        <v>78632.245649999997</v>
      </c>
    </row>
    <row r="11" spans="2:25">
      <c r="B11" s="55">
        <f t="shared" ref="B11:B23" si="4">Q8</f>
        <v>2003</v>
      </c>
      <c r="C11" s="56">
        <v>206600</v>
      </c>
      <c r="D11" s="56">
        <f t="shared" ref="D11:D23" si="5">R8+W8</f>
        <v>146696.08900000001</v>
      </c>
      <c r="E11" s="56">
        <f t="shared" ref="E11:E23" si="6">R28+W28</f>
        <v>146696</v>
      </c>
      <c r="F11" s="56">
        <f>E11-D11</f>
        <v>-8.900000000721775E-2</v>
      </c>
      <c r="G11" s="56">
        <f t="shared" ref="G11:G23" si="7">T8+Y8</f>
        <v>146696.55622707852</v>
      </c>
      <c r="H11" s="56">
        <f t="shared" ref="H11:H23" si="8">T28+Y28</f>
        <v>146696</v>
      </c>
      <c r="I11" s="57">
        <f>G11/$C11</f>
        <v>0.71005109500037999</v>
      </c>
      <c r="J11" s="57">
        <f t="shared" ref="J11:J23" si="9">H11/$C11</f>
        <v>0.71004840271055181</v>
      </c>
      <c r="K11" s="56">
        <f>G11-E11</f>
        <v>0.55622707851580344</v>
      </c>
      <c r="L11" s="56">
        <f>H11-E11</f>
        <v>0</v>
      </c>
      <c r="M11" s="56">
        <f>K11+F11</f>
        <v>0.46722707850858569</v>
      </c>
      <c r="N11" s="56">
        <f>L11+F11</f>
        <v>-8.900000000721775E-2</v>
      </c>
      <c r="Q11" s="32">
        <f>Base_Indem_Tri!R11</f>
        <v>2006</v>
      </c>
      <c r="R11" s="25">
        <f>Base_Indem_Tri!AB11</f>
        <v>64300.663794834531</v>
      </c>
      <c r="S11" s="35">
        <f>Base_Indem_Tri!AB57</f>
        <v>1.0963392288514135</v>
      </c>
      <c r="T11" s="36">
        <f t="shared" si="2"/>
        <v>70495.340159462896</v>
      </c>
      <c r="V11" s="32">
        <f t="shared" si="0"/>
        <v>2006</v>
      </c>
      <c r="W11" s="25">
        <f>Base_Med_Tri!Z11</f>
        <v>73809</v>
      </c>
      <c r="X11" s="35">
        <f>Base_Med_Tri!Z57</f>
        <v>1.0695485499999999</v>
      </c>
      <c r="Y11" s="36">
        <f t="shared" si="3"/>
        <v>78942.308926949991</v>
      </c>
    </row>
    <row r="12" spans="2:25">
      <c r="B12" s="55">
        <f t="shared" si="4"/>
        <v>2004</v>
      </c>
      <c r="C12" s="56">
        <v>210500</v>
      </c>
      <c r="D12" s="56">
        <f t="shared" si="5"/>
        <v>147100.8436643907</v>
      </c>
      <c r="E12" s="56">
        <f t="shared" si="6"/>
        <v>150959</v>
      </c>
      <c r="F12" s="56">
        <f t="shared" ref="F12:F23" si="10">E12-D12</f>
        <v>3858.1563356092956</v>
      </c>
      <c r="G12" s="56">
        <f t="shared" si="7"/>
        <v>149469.72161668763</v>
      </c>
      <c r="H12" s="56">
        <f t="shared" si="8"/>
        <v>150841.25</v>
      </c>
      <c r="I12" s="57">
        <f t="shared" ref="I12:I23" si="11">G12/$C12</f>
        <v>0.71006993642131888</v>
      </c>
      <c r="J12" s="57">
        <f t="shared" si="9"/>
        <v>0.71658551068883614</v>
      </c>
      <c r="K12" s="56">
        <f t="shared" ref="K12:K23" si="12">G12-E12</f>
        <v>-1489.2783833123685</v>
      </c>
      <c r="L12" s="56">
        <f t="shared" ref="L12:L23" si="13">H12-E12</f>
        <v>-117.75</v>
      </c>
      <c r="M12" s="56">
        <f t="shared" ref="M12:M23" si="14">K12+F12</f>
        <v>2368.8779522969271</v>
      </c>
      <c r="N12" s="56">
        <f t="shared" ref="N12:N23" si="15">L12+F12</f>
        <v>3740.4063356092956</v>
      </c>
      <c r="Q12" s="32">
        <f>Base_Indem_Tri!R12</f>
        <v>2007</v>
      </c>
      <c r="R12" s="25">
        <f>Base_Indem_Tri!AA12</f>
        <v>64477.684515965142</v>
      </c>
      <c r="S12" s="35">
        <f>Base_Indem_Tri!AA57</f>
        <v>1.1154362809053364</v>
      </c>
      <c r="T12" s="36">
        <f t="shared" si="2"/>
        <v>71920.748617875754</v>
      </c>
      <c r="V12" s="32">
        <f t="shared" si="0"/>
        <v>2007</v>
      </c>
      <c r="W12" s="25">
        <f>Base_Med_Tri!Y12</f>
        <v>73620</v>
      </c>
      <c r="X12" s="35">
        <f>Base_Med_Tri!Y57</f>
        <v>1.0930786180999998</v>
      </c>
      <c r="Y12" s="36">
        <f t="shared" si="3"/>
        <v>80472.447864521993</v>
      </c>
    </row>
    <row r="13" spans="2:25">
      <c r="B13" s="55">
        <f t="shared" si="4"/>
        <v>2005</v>
      </c>
      <c r="C13" s="56">
        <v>215000</v>
      </c>
      <c r="D13" s="56">
        <f t="shared" si="5"/>
        <v>142911.68456158252</v>
      </c>
      <c r="E13" s="56">
        <f t="shared" si="6"/>
        <v>148987</v>
      </c>
      <c r="F13" s="56">
        <f t="shared" si="10"/>
        <v>6075.315438417485</v>
      </c>
      <c r="G13" s="56">
        <f t="shared" si="7"/>
        <v>148309.13168232853</v>
      </c>
      <c r="H13" s="56">
        <f t="shared" si="8"/>
        <v>149712.53871737153</v>
      </c>
      <c r="I13" s="57">
        <f t="shared" si="11"/>
        <v>0.68980991480152809</v>
      </c>
      <c r="J13" s="57">
        <f t="shared" si="9"/>
        <v>0.6963373893831234</v>
      </c>
      <c r="K13" s="56">
        <f t="shared" si="12"/>
        <v>-677.86831767146941</v>
      </c>
      <c r="L13" s="56">
        <f t="shared" si="13"/>
        <v>725.53871737152804</v>
      </c>
      <c r="M13" s="56">
        <f t="shared" si="14"/>
        <v>5397.4471207460156</v>
      </c>
      <c r="N13" s="56">
        <f t="shared" si="15"/>
        <v>6800.854155789013</v>
      </c>
      <c r="Q13" s="32">
        <f>Base_Indem_Tri!R13</f>
        <v>2008</v>
      </c>
      <c r="R13" s="25">
        <f>Base_Indem_Tri!Z13</f>
        <v>65727.560276040749</v>
      </c>
      <c r="S13" s="35">
        <f>Base_Indem_Tri!Z57</f>
        <v>1.1358021892274612</v>
      </c>
      <c r="T13" s="36">
        <f t="shared" si="2"/>
        <v>74653.506854106992</v>
      </c>
      <c r="V13" s="32">
        <f t="shared" si="0"/>
        <v>2008</v>
      </c>
      <c r="W13" s="25">
        <f>Base_Med_Tri!X13</f>
        <v>71918</v>
      </c>
      <c r="X13" s="35">
        <f>Base_Med_Tri!X57</f>
        <v>1.1193125049343999</v>
      </c>
      <c r="Y13" s="36">
        <f t="shared" si="3"/>
        <v>80498.716729872176</v>
      </c>
    </row>
    <row r="14" spans="2:25">
      <c r="B14" s="55">
        <f t="shared" si="4"/>
        <v>2006</v>
      </c>
      <c r="C14" s="56">
        <v>225300</v>
      </c>
      <c r="D14" s="56">
        <f t="shared" si="5"/>
        <v>138109.66379483452</v>
      </c>
      <c r="E14" s="56">
        <f t="shared" si="6"/>
        <v>146038</v>
      </c>
      <c r="F14" s="56">
        <f t="shared" si="10"/>
        <v>7928.336205165484</v>
      </c>
      <c r="G14" s="56">
        <f t="shared" si="7"/>
        <v>149437.64908641289</v>
      </c>
      <c r="H14" s="56">
        <f t="shared" si="8"/>
        <v>146782.84713325812</v>
      </c>
      <c r="I14" s="57">
        <f t="shared" si="11"/>
        <v>0.66328295200360798</v>
      </c>
      <c r="J14" s="57">
        <f t="shared" si="9"/>
        <v>0.65149954342324956</v>
      </c>
      <c r="K14" s="56">
        <f t="shared" si="12"/>
        <v>3399.6490864128864</v>
      </c>
      <c r="L14" s="56">
        <f t="shared" si="13"/>
        <v>744.84713325812481</v>
      </c>
      <c r="M14" s="56">
        <f t="shared" si="14"/>
        <v>11327.98529157837</v>
      </c>
      <c r="N14" s="56">
        <f t="shared" si="15"/>
        <v>8673.1833384236088</v>
      </c>
      <c r="Q14" s="32">
        <f>Base_Indem_Tri!R14</f>
        <v>2009</v>
      </c>
      <c r="R14" s="25">
        <f>Base_Indem_Tri!Y14</f>
        <v>68110.910043936907</v>
      </c>
      <c r="S14" s="35">
        <f>Base_Indem_Tri!Y57</f>
        <v>1.1568713198376304</v>
      </c>
      <c r="T14" s="36">
        <f t="shared" si="2"/>
        <v>78795.558397871398</v>
      </c>
      <c r="V14" s="32">
        <f t="shared" si="0"/>
        <v>2009</v>
      </c>
      <c r="W14" s="25">
        <f>Base_Med_Tri!W14</f>
        <v>75516</v>
      </c>
      <c r="X14" s="35">
        <f>Base_Med_Tri!W57</f>
        <v>1.1249090674590718</v>
      </c>
      <c r="Y14" s="36">
        <f t="shared" si="3"/>
        <v>84948.633138239267</v>
      </c>
    </row>
    <row r="15" spans="2:25">
      <c r="B15" s="55">
        <f t="shared" si="4"/>
        <v>2007</v>
      </c>
      <c r="C15" s="56">
        <v>253500</v>
      </c>
      <c r="D15" s="56">
        <f t="shared" si="5"/>
        <v>138097.68451596514</v>
      </c>
      <c r="E15" s="56">
        <f t="shared" si="6"/>
        <v>146506</v>
      </c>
      <c r="F15" s="56">
        <f t="shared" si="10"/>
        <v>8408.3154840348579</v>
      </c>
      <c r="G15" s="56">
        <f t="shared" si="7"/>
        <v>152393.19648239773</v>
      </c>
      <c r="H15" s="56">
        <f t="shared" si="8"/>
        <v>149127.21295194438</v>
      </c>
      <c r="I15" s="57">
        <f t="shared" si="11"/>
        <v>0.60115659361892593</v>
      </c>
      <c r="J15" s="57">
        <f t="shared" si="9"/>
        <v>0.58827302939623027</v>
      </c>
      <c r="K15" s="56">
        <f t="shared" si="12"/>
        <v>5887.1964823977323</v>
      </c>
      <c r="L15" s="56">
        <f t="shared" si="13"/>
        <v>2621.2129519443843</v>
      </c>
      <c r="M15" s="56">
        <f t="shared" si="14"/>
        <v>14295.51196643259</v>
      </c>
      <c r="N15" s="56">
        <f t="shared" si="15"/>
        <v>11029.528435979242</v>
      </c>
      <c r="Q15" s="32">
        <f>Base_Indem_Tri!R15</f>
        <v>2010</v>
      </c>
      <c r="R15" s="25">
        <f>Base_Indem_Tri!X15</f>
        <v>62485.196969882483</v>
      </c>
      <c r="S15" s="35">
        <f>Base_Indem_Tri!X57</f>
        <v>1.193197079280532</v>
      </c>
      <c r="T15" s="36">
        <f t="shared" si="2"/>
        <v>74557.154522732526</v>
      </c>
      <c r="V15" s="32">
        <f t="shared" si="0"/>
        <v>2010</v>
      </c>
      <c r="W15" s="25">
        <f>Base_Med_Tri!V15</f>
        <v>73984</v>
      </c>
      <c r="X15" s="35">
        <f>Base_Med_Tri!V57</f>
        <v>1.129408703728908</v>
      </c>
      <c r="Y15" s="36">
        <f t="shared" si="3"/>
        <v>83558.173536679533</v>
      </c>
    </row>
    <row r="16" spans="2:25">
      <c r="B16" s="55">
        <f t="shared" si="4"/>
        <v>2008</v>
      </c>
      <c r="C16" s="56">
        <v>253500</v>
      </c>
      <c r="D16" s="56">
        <f t="shared" si="5"/>
        <v>137645.56027604075</v>
      </c>
      <c r="E16" s="56">
        <f t="shared" si="6"/>
        <v>146316</v>
      </c>
      <c r="F16" s="56">
        <f t="shared" si="10"/>
        <v>8670.4397239592508</v>
      </c>
      <c r="G16" s="56">
        <f t="shared" si="7"/>
        <v>155152.22358397918</v>
      </c>
      <c r="H16" s="56">
        <f t="shared" si="8"/>
        <v>151652.25588307509</v>
      </c>
      <c r="I16" s="57">
        <f t="shared" si="11"/>
        <v>0.61204032971983902</v>
      </c>
      <c r="J16" s="57">
        <f t="shared" si="9"/>
        <v>0.59823375101804765</v>
      </c>
      <c r="K16" s="56">
        <f t="shared" si="12"/>
        <v>8836.2235839791829</v>
      </c>
      <c r="L16" s="56">
        <f t="shared" si="13"/>
        <v>5336.2558830750932</v>
      </c>
      <c r="M16" s="56">
        <f t="shared" si="14"/>
        <v>17506.663307938434</v>
      </c>
      <c r="N16" s="56">
        <f t="shared" si="15"/>
        <v>14006.695607034344</v>
      </c>
      <c r="Q16" s="32">
        <f>Base_Indem_Tri!R16</f>
        <v>2011</v>
      </c>
      <c r="R16" s="25">
        <f>Base_Indem_Tri!W16</f>
        <v>61009.463199424368</v>
      </c>
      <c r="S16" s="35">
        <f>Base_Indem_Tri!W57</f>
        <v>1.2654451624309684</v>
      </c>
      <c r="T16" s="36">
        <f t="shared" si="2"/>
        <v>77204.130068221755</v>
      </c>
      <c r="V16" s="32">
        <f t="shared" si="0"/>
        <v>2011</v>
      </c>
      <c r="W16" s="25">
        <f>Base_Med_Tri!U16</f>
        <v>75968</v>
      </c>
      <c r="X16" s="35">
        <f>Base_Med_Tri!U57</f>
        <v>1.1407027907661971</v>
      </c>
      <c r="Y16" s="36">
        <f t="shared" si="3"/>
        <v>86656.909608926464</v>
      </c>
    </row>
    <row r="17" spans="2:25">
      <c r="B17" s="55">
        <f t="shared" si="4"/>
        <v>2009</v>
      </c>
      <c r="C17" s="56">
        <v>267200</v>
      </c>
      <c r="D17" s="56">
        <f t="shared" si="5"/>
        <v>143626.91004393692</v>
      </c>
      <c r="E17" s="56">
        <f t="shared" si="6"/>
        <v>154925</v>
      </c>
      <c r="F17" s="56">
        <f t="shared" si="10"/>
        <v>11298.089956063079</v>
      </c>
      <c r="G17" s="56">
        <f t="shared" si="7"/>
        <v>163744.19153611065</v>
      </c>
      <c r="H17" s="56">
        <f t="shared" si="8"/>
        <v>160094.23858531847</v>
      </c>
      <c r="I17" s="57">
        <f t="shared" si="11"/>
        <v>0.61281508808424645</v>
      </c>
      <c r="J17" s="57">
        <f t="shared" si="9"/>
        <v>0.5991550845258925</v>
      </c>
      <c r="K17" s="56">
        <f t="shared" si="12"/>
        <v>8819.1915361106512</v>
      </c>
      <c r="L17" s="56">
        <f t="shared" si="13"/>
        <v>5169.2385853184678</v>
      </c>
      <c r="M17" s="56">
        <f t="shared" si="14"/>
        <v>20117.28149217373</v>
      </c>
      <c r="N17" s="56">
        <f t="shared" si="15"/>
        <v>16467.328541381547</v>
      </c>
      <c r="Q17" s="32">
        <f>Base_Indem_Tri!R17</f>
        <v>2012</v>
      </c>
      <c r="R17" s="25">
        <f>Base_Indem_Tri!V17</f>
        <v>54041</v>
      </c>
      <c r="S17" s="35">
        <f>Base_Indem_Tri!V57</f>
        <v>1.4165393148252259</v>
      </c>
      <c r="T17" s="36">
        <f t="shared" si="2"/>
        <v>76551.201112470037</v>
      </c>
      <c r="V17" s="32">
        <f t="shared" si="0"/>
        <v>2012</v>
      </c>
      <c r="W17" s="25">
        <f>Base_Med_Tri!T17</f>
        <v>88999</v>
      </c>
      <c r="X17" s="35">
        <f>Base_Med_Tri!T57</f>
        <v>1.1612354409999885</v>
      </c>
      <c r="Y17" s="36">
        <f t="shared" si="3"/>
        <v>103348.79301355798</v>
      </c>
    </row>
    <row r="18" spans="2:25">
      <c r="B18" s="55">
        <f t="shared" si="4"/>
        <v>2010</v>
      </c>
      <c r="C18" s="56">
        <v>227700</v>
      </c>
      <c r="D18" s="56">
        <f t="shared" si="5"/>
        <v>136469.19696988247</v>
      </c>
      <c r="E18" s="56">
        <f t="shared" si="6"/>
        <v>150888</v>
      </c>
      <c r="F18" s="56">
        <f t="shared" si="10"/>
        <v>14418.803030117531</v>
      </c>
      <c r="G18" s="56">
        <f t="shared" si="7"/>
        <v>158115.32805941207</v>
      </c>
      <c r="H18" s="56">
        <f t="shared" si="8"/>
        <v>155929.307804721</v>
      </c>
      <c r="I18" s="57">
        <f t="shared" si="11"/>
        <v>0.69440196776202057</v>
      </c>
      <c r="J18" s="57">
        <f t="shared" si="9"/>
        <v>0.68480152746913048</v>
      </c>
      <c r="K18" s="56">
        <f t="shared" si="12"/>
        <v>7227.3280594120733</v>
      </c>
      <c r="L18" s="56">
        <f t="shared" si="13"/>
        <v>5041.3078047210001</v>
      </c>
      <c r="M18" s="56">
        <f t="shared" si="14"/>
        <v>21646.131089529605</v>
      </c>
      <c r="N18" s="56">
        <f t="shared" si="15"/>
        <v>19460.110834838531</v>
      </c>
      <c r="Q18" s="32">
        <f>Base_Indem_Tri!R18</f>
        <v>2013</v>
      </c>
      <c r="R18" s="25">
        <f>Base_Indem_Tri!U18</f>
        <v>41159.997636681452</v>
      </c>
      <c r="S18" s="35">
        <f>Base_Indem_Tri!U57</f>
        <v>1.7402096620335405</v>
      </c>
      <c r="T18" s="36">
        <f t="shared" si="2"/>
        <v>71627.025576630753</v>
      </c>
      <c r="V18" s="32">
        <f t="shared" si="0"/>
        <v>2013</v>
      </c>
      <c r="W18" s="25">
        <f>Base_Med_Tri!S18</f>
        <v>69375</v>
      </c>
      <c r="X18" s="35">
        <f>Base_Med_Tri!S57</f>
        <v>1.2227809193729879</v>
      </c>
      <c r="Y18" s="36">
        <f t="shared" si="3"/>
        <v>84830.426281501044</v>
      </c>
    </row>
    <row r="19" spans="2:25">
      <c r="B19" s="55">
        <f t="shared" si="4"/>
        <v>2011</v>
      </c>
      <c r="C19" s="56">
        <v>225800</v>
      </c>
      <c r="D19" s="56">
        <f t="shared" si="5"/>
        <v>136977.46319942438</v>
      </c>
      <c r="E19" s="56">
        <f t="shared" si="6"/>
        <v>157391</v>
      </c>
      <c r="F19" s="56">
        <f t="shared" si="10"/>
        <v>20413.536800575617</v>
      </c>
      <c r="G19" s="56">
        <f t="shared" si="7"/>
        <v>163861.03967714822</v>
      </c>
      <c r="H19" s="56">
        <f t="shared" si="8"/>
        <v>164244.03548667036</v>
      </c>
      <c r="I19" s="57">
        <f t="shared" si="11"/>
        <v>0.72569105260030209</v>
      </c>
      <c r="J19" s="57">
        <f t="shared" si="9"/>
        <v>0.72738722536169331</v>
      </c>
      <c r="K19" s="56">
        <f t="shared" si="12"/>
        <v>6470.0396771482192</v>
      </c>
      <c r="L19" s="56">
        <f t="shared" si="13"/>
        <v>6853.0354866703565</v>
      </c>
      <c r="M19" s="56">
        <f t="shared" si="14"/>
        <v>26883.576477723836</v>
      </c>
      <c r="N19" s="56">
        <f t="shared" si="15"/>
        <v>27266.572287245974</v>
      </c>
      <c r="Q19" s="32">
        <f>Base_Indem_Tri!R19</f>
        <v>2014</v>
      </c>
      <c r="R19" s="25">
        <f>Base_Indem_Tri!T19</f>
        <v>26495.238086641097</v>
      </c>
      <c r="S19" s="35">
        <f>Base_Indem_Tri!T57</f>
        <v>2.68550050094349</v>
      </c>
      <c r="T19" s="36">
        <f t="shared" si="2"/>
        <v>71152.975154291707</v>
      </c>
      <c r="V19" s="32">
        <f t="shared" si="0"/>
        <v>2014</v>
      </c>
      <c r="W19" s="25">
        <f>Base_Med_Tri!R19</f>
        <v>64406</v>
      </c>
      <c r="X19" s="35">
        <f>Base_Med_Tri!R57</f>
        <v>1.3695146296977467</v>
      </c>
      <c r="Y19" s="36">
        <f t="shared" si="3"/>
        <v>88204.959240313081</v>
      </c>
    </row>
    <row r="20" spans="2:25" ht="14.1" thickBot="1">
      <c r="B20" s="55">
        <f t="shared" si="4"/>
        <v>2012</v>
      </c>
      <c r="C20" s="56">
        <v>231900</v>
      </c>
      <c r="D20" s="56">
        <f t="shared" si="5"/>
        <v>143040</v>
      </c>
      <c r="E20" s="56">
        <f t="shared" si="6"/>
        <v>180452</v>
      </c>
      <c r="F20" s="56">
        <f t="shared" si="10"/>
        <v>37412</v>
      </c>
      <c r="G20" s="56">
        <f t="shared" si="7"/>
        <v>179899.99412602803</v>
      </c>
      <c r="H20" s="56">
        <f t="shared" si="8"/>
        <v>188649.27704307696</v>
      </c>
      <c r="I20" s="57">
        <f t="shared" si="11"/>
        <v>0.77576539079787854</v>
      </c>
      <c r="J20" s="57">
        <f t="shared" si="9"/>
        <v>0.81349407953030173</v>
      </c>
      <c r="K20" s="56">
        <f t="shared" si="12"/>
        <v>-552.00587397196796</v>
      </c>
      <c r="L20" s="56">
        <f t="shared" si="13"/>
        <v>8197.2770430769597</v>
      </c>
      <c r="M20" s="56">
        <f t="shared" si="14"/>
        <v>36859.994126028032</v>
      </c>
      <c r="N20" s="56">
        <f t="shared" si="15"/>
        <v>45609.27704307696</v>
      </c>
      <c r="Q20" s="33">
        <f>Base_Indem_Tri!R20</f>
        <v>2015</v>
      </c>
      <c r="R20" s="34">
        <f>Base_Indem_Tri!S20</f>
        <v>9643.9884594521136</v>
      </c>
      <c r="S20" s="37">
        <f>Base_Indem_Tri!S57</f>
        <v>7.6002303722257523</v>
      </c>
      <c r="T20" s="38">
        <f t="shared" si="2"/>
        <v>73296.53399892259</v>
      </c>
      <c r="V20" s="33">
        <f t="shared" si="0"/>
        <v>2015</v>
      </c>
      <c r="W20" s="34">
        <f>Base_Med_Tri!Q20</f>
        <v>32877</v>
      </c>
      <c r="X20" s="37">
        <f>Base_Med_Tri!Q57</f>
        <v>2.6924657619857699</v>
      </c>
      <c r="Y20" s="38">
        <f t="shared" si="3"/>
        <v>88520.196856806157</v>
      </c>
    </row>
    <row r="21" spans="2:25">
      <c r="B21" s="55">
        <f t="shared" si="4"/>
        <v>2013</v>
      </c>
      <c r="C21" s="56">
        <v>230100</v>
      </c>
      <c r="D21" s="56">
        <f t="shared" si="5"/>
        <v>110534.99763668145</v>
      </c>
      <c r="E21" s="56">
        <f t="shared" si="6"/>
        <v>148527</v>
      </c>
      <c r="F21" s="56">
        <f t="shared" si="10"/>
        <v>37992.002363318548</v>
      </c>
      <c r="G21" s="56">
        <f t="shared" si="7"/>
        <v>156457.4518581318</v>
      </c>
      <c r="H21" s="56">
        <f t="shared" si="8"/>
        <v>156894.4542963001</v>
      </c>
      <c r="I21" s="57">
        <f t="shared" si="11"/>
        <v>0.67995415844472751</v>
      </c>
      <c r="J21" s="57">
        <f t="shared" si="9"/>
        <v>0.68185334331290792</v>
      </c>
      <c r="K21" s="56">
        <f t="shared" si="12"/>
        <v>7930.4518581317971</v>
      </c>
      <c r="L21" s="56">
        <f t="shared" si="13"/>
        <v>8367.4542963001004</v>
      </c>
      <c r="M21" s="56">
        <f t="shared" si="14"/>
        <v>45922.454221450345</v>
      </c>
      <c r="N21" s="56">
        <f t="shared" si="15"/>
        <v>46359.456659618649</v>
      </c>
    </row>
    <row r="22" spans="2:25">
      <c r="B22" s="55">
        <f t="shared" si="4"/>
        <v>2014</v>
      </c>
      <c r="C22" s="56">
        <v>253100</v>
      </c>
      <c r="D22" s="56">
        <f t="shared" si="5"/>
        <v>90901.238086641097</v>
      </c>
      <c r="E22" s="56">
        <f t="shared" si="6"/>
        <v>143203</v>
      </c>
      <c r="F22" s="56">
        <f t="shared" si="10"/>
        <v>52301.761913358903</v>
      </c>
      <c r="G22" s="56">
        <f t="shared" si="7"/>
        <v>159357.93439460479</v>
      </c>
      <c r="H22" s="56">
        <f t="shared" si="8"/>
        <v>159352.28595905285</v>
      </c>
      <c r="I22" s="57">
        <f t="shared" si="11"/>
        <v>0.62962439507943413</v>
      </c>
      <c r="J22" s="57">
        <f t="shared" si="9"/>
        <v>0.62960207806816615</v>
      </c>
      <c r="K22" s="56">
        <f t="shared" si="12"/>
        <v>16154.934394604788</v>
      </c>
      <c r="L22" s="56">
        <f t="shared" si="13"/>
        <v>16149.285959052853</v>
      </c>
      <c r="M22" s="56">
        <f t="shared" si="14"/>
        <v>68456.696307963692</v>
      </c>
      <c r="N22" s="56">
        <f t="shared" si="15"/>
        <v>68451.047872411757</v>
      </c>
    </row>
    <row r="23" spans="2:25">
      <c r="B23" s="55">
        <f t="shared" si="4"/>
        <v>2015</v>
      </c>
      <c r="C23" s="56">
        <v>269000</v>
      </c>
      <c r="D23" s="56">
        <f t="shared" si="5"/>
        <v>42520.988459452114</v>
      </c>
      <c r="E23" s="56">
        <f t="shared" si="6"/>
        <v>109127</v>
      </c>
      <c r="F23" s="56">
        <f t="shared" si="10"/>
        <v>66606.011540547886</v>
      </c>
      <c r="G23" s="56">
        <f t="shared" si="7"/>
        <v>161816.73085572873</v>
      </c>
      <c r="H23" s="56">
        <f t="shared" si="8"/>
        <v>160152.27125985146</v>
      </c>
      <c r="I23" s="57">
        <f t="shared" si="11"/>
        <v>0.60154918533728152</v>
      </c>
      <c r="J23" s="57">
        <f t="shared" si="9"/>
        <v>0.5953616031964738</v>
      </c>
      <c r="K23" s="56">
        <f t="shared" si="12"/>
        <v>52689.730855728732</v>
      </c>
      <c r="L23" s="56">
        <f t="shared" si="13"/>
        <v>51025.271259851463</v>
      </c>
      <c r="M23" s="56">
        <f t="shared" si="14"/>
        <v>119295.74239627662</v>
      </c>
      <c r="N23" s="56">
        <f t="shared" si="15"/>
        <v>117631.28280039935</v>
      </c>
      <c r="Q23" s="26" t="s">
        <v>60</v>
      </c>
      <c r="V23" s="26" t="s">
        <v>60</v>
      </c>
    </row>
    <row r="24" spans="2:25">
      <c r="B24" s="55"/>
      <c r="Q24" s="26" t="s">
        <v>38</v>
      </c>
      <c r="V24" s="26" t="s">
        <v>39</v>
      </c>
    </row>
    <row r="25" spans="2:25" ht="14.1" thickBot="1">
      <c r="B25" s="55" t="s">
        <v>61</v>
      </c>
      <c r="C25" s="58">
        <f>SUM(C11:C23)</f>
        <v>3069200</v>
      </c>
      <c r="D25" s="58">
        <f t="shared" ref="D25:N25" si="16">SUM(D11:D23)</f>
        <v>1654632.3202088322</v>
      </c>
      <c r="E25" s="58">
        <f t="shared" si="16"/>
        <v>1930015</v>
      </c>
      <c r="F25" s="58">
        <f t="shared" si="16"/>
        <v>275382.67979116796</v>
      </c>
      <c r="G25" s="58">
        <f t="shared" si="16"/>
        <v>2044711.1491860487</v>
      </c>
      <c r="H25" s="58">
        <f t="shared" si="16"/>
        <v>2040127.9751206404</v>
      </c>
      <c r="I25" s="57">
        <f t="shared" ref="I25:J25" si="17">G25/$C25</f>
        <v>0.66620329375278531</v>
      </c>
      <c r="J25" s="57">
        <f t="shared" si="17"/>
        <v>0.66471001404947228</v>
      </c>
      <c r="K25" s="58">
        <f t="shared" si="16"/>
        <v>114696.14918604877</v>
      </c>
      <c r="L25" s="58">
        <f t="shared" si="16"/>
        <v>110112.97512064033</v>
      </c>
      <c r="M25" s="58">
        <f t="shared" si="16"/>
        <v>390078.82897721668</v>
      </c>
      <c r="N25" s="58">
        <f t="shared" si="16"/>
        <v>385495.65491180826</v>
      </c>
    </row>
    <row r="26" spans="2:25">
      <c r="Q26" s="27" t="s">
        <v>44</v>
      </c>
      <c r="R26" s="28" t="s">
        <v>59</v>
      </c>
      <c r="S26" s="28" t="s">
        <v>46</v>
      </c>
      <c r="T26" s="29" t="s">
        <v>47</v>
      </c>
      <c r="V26" s="27" t="s">
        <v>44</v>
      </c>
      <c r="W26" s="28" t="s">
        <v>59</v>
      </c>
      <c r="X26" s="28" t="s">
        <v>46</v>
      </c>
      <c r="Y26" s="29" t="s">
        <v>47</v>
      </c>
    </row>
    <row r="27" spans="2:25">
      <c r="B27" s="62">
        <v>-1</v>
      </c>
      <c r="C27" s="23" t="s">
        <v>62</v>
      </c>
      <c r="F27" s="62">
        <f>B33-1</f>
        <v>-8</v>
      </c>
      <c r="G27" s="63" t="s">
        <v>63</v>
      </c>
      <c r="Q27" s="30" t="s">
        <v>54</v>
      </c>
      <c r="R27" s="24" t="s">
        <v>55</v>
      </c>
      <c r="S27" s="24" t="s">
        <v>56</v>
      </c>
      <c r="T27" s="31" t="s">
        <v>57</v>
      </c>
      <c r="V27" s="30" t="s">
        <v>54</v>
      </c>
      <c r="W27" s="24" t="s">
        <v>55</v>
      </c>
      <c r="X27" s="24" t="s">
        <v>56</v>
      </c>
      <c r="Y27" s="31" t="s">
        <v>57</v>
      </c>
    </row>
    <row r="28" spans="2:25">
      <c r="B28" s="62">
        <f>B27-1</f>
        <v>-2</v>
      </c>
      <c r="C28" s="23" t="s">
        <v>62</v>
      </c>
      <c r="F28" s="62">
        <f>F27-1</f>
        <v>-9</v>
      </c>
      <c r="G28" s="63" t="s">
        <v>64</v>
      </c>
      <c r="Q28" s="32">
        <f>Base_Indem_Tri!A8</f>
        <v>2003</v>
      </c>
      <c r="R28" s="25">
        <f>Base_Indem_Tri!N8</f>
        <v>71881</v>
      </c>
      <c r="S28" s="35">
        <f>Base_Indem_Tri!$N$57</f>
        <v>1</v>
      </c>
      <c r="T28" s="36">
        <f>R28*S28</f>
        <v>71881</v>
      </c>
      <c r="V28" s="32">
        <f t="shared" ref="V28:V40" si="18">Q28</f>
        <v>2003</v>
      </c>
      <c r="W28" s="25">
        <f>Base_Med_Tri!N8</f>
        <v>74815</v>
      </c>
      <c r="X28" s="35">
        <f>Base_Med_Tri!$N$57</f>
        <v>1</v>
      </c>
      <c r="Y28" s="36">
        <f>W28*X28</f>
        <v>74815</v>
      </c>
    </row>
    <row r="29" spans="2:25">
      <c r="B29" s="62">
        <f t="shared" ref="B29:B33" si="19">B28-1</f>
        <v>-3</v>
      </c>
      <c r="C29" s="23" t="s">
        <v>62</v>
      </c>
      <c r="F29" s="62">
        <f>F28-1</f>
        <v>-10</v>
      </c>
      <c r="G29" s="63" t="s">
        <v>65</v>
      </c>
      <c r="Q29" s="32">
        <f>Base_Indem_Tri!A9</f>
        <v>2004</v>
      </c>
      <c r="R29" s="25">
        <f>Base_Indem_Tri!M9</f>
        <v>73970</v>
      </c>
      <c r="S29" s="35">
        <f>Base_Indem_Tri!M57</f>
        <v>0.98799999999999999</v>
      </c>
      <c r="T29" s="36">
        <f t="shared" ref="T29:T40" si="20">R29*S29</f>
        <v>73082.36</v>
      </c>
      <c r="V29" s="32">
        <f t="shared" si="18"/>
        <v>2004</v>
      </c>
      <c r="W29" s="25">
        <f>Base_Med_Tri!M9</f>
        <v>76989</v>
      </c>
      <c r="X29" s="35">
        <f>Base_Med_Tri!M57</f>
        <v>1.01</v>
      </c>
      <c r="Y29" s="36">
        <f t="shared" ref="Y29:Y40" si="21">W29*X29</f>
        <v>77758.89</v>
      </c>
    </row>
    <row r="30" spans="2:25">
      <c r="B30" s="62">
        <f t="shared" si="19"/>
        <v>-4</v>
      </c>
      <c r="C30" s="23" t="s">
        <v>62</v>
      </c>
      <c r="F30" s="62">
        <f>F29-1</f>
        <v>-11</v>
      </c>
      <c r="G30" s="63" t="s">
        <v>66</v>
      </c>
      <c r="Q30" s="32">
        <f>Base_Indem_Tri!A10</f>
        <v>2005</v>
      </c>
      <c r="R30" s="25">
        <f>Base_Indem_Tri!L10</f>
        <v>70034</v>
      </c>
      <c r="S30" s="35">
        <f>Base_Indem_Tri!L57</f>
        <v>0.99339315285963303</v>
      </c>
      <c r="T30" s="36">
        <f t="shared" si="20"/>
        <v>69571.296067371542</v>
      </c>
      <c r="V30" s="32">
        <f t="shared" si="18"/>
        <v>2005</v>
      </c>
      <c r="W30" s="25">
        <f>Base_Med_Tri!L10</f>
        <v>78953</v>
      </c>
      <c r="X30" s="35">
        <f>Base_Med_Tri!L57</f>
        <v>1.01505</v>
      </c>
      <c r="Y30" s="36">
        <f t="shared" si="21"/>
        <v>80141.24265</v>
      </c>
    </row>
    <row r="31" spans="2:25">
      <c r="B31" s="62">
        <f t="shared" si="19"/>
        <v>-5</v>
      </c>
      <c r="C31" s="63" t="s">
        <v>67</v>
      </c>
      <c r="F31" s="62">
        <f>F30-1</f>
        <v>-12</v>
      </c>
      <c r="G31" s="63" t="s">
        <v>68</v>
      </c>
      <c r="Q31" s="32">
        <f>Base_Indem_Tri!A11</f>
        <v>2006</v>
      </c>
      <c r="R31" s="25">
        <f>Base_Indem_Tri!K11</f>
        <v>67340</v>
      </c>
      <c r="S31" s="35">
        <f>Base_Indem_Tri!K57</f>
        <v>0.98754128614134395</v>
      </c>
      <c r="T31" s="36">
        <f t="shared" si="20"/>
        <v>66501.030208758108</v>
      </c>
      <c r="V31" s="32">
        <f t="shared" si="18"/>
        <v>2006</v>
      </c>
      <c r="W31" s="25">
        <f>Base_Med_Tri!K11</f>
        <v>78698</v>
      </c>
      <c r="X31" s="35">
        <f>Base_Med_Tri!K57</f>
        <v>1.02012525</v>
      </c>
      <c r="Y31" s="36">
        <f t="shared" si="21"/>
        <v>80281.816924500003</v>
      </c>
    </row>
    <row r="32" spans="2:25">
      <c r="B32" s="62">
        <f t="shared" si="19"/>
        <v>-6</v>
      </c>
      <c r="C32" s="23" t="s">
        <v>69</v>
      </c>
      <c r="F32" s="62">
        <f>F31-1</f>
        <v>-13</v>
      </c>
      <c r="G32" s="63" t="s">
        <v>70</v>
      </c>
      <c r="Q32" s="32">
        <f>Base_Indem_Tri!A12</f>
        <v>2007</v>
      </c>
      <c r="R32" s="25">
        <f>Base_Indem_Tri!J12</f>
        <v>68355</v>
      </c>
      <c r="S32" s="35">
        <f>Base_Indem_Tri!J57</f>
        <v>0.98734596060695434</v>
      </c>
      <c r="T32" s="36">
        <f t="shared" si="20"/>
        <v>67490.033137288367</v>
      </c>
      <c r="V32" s="32">
        <f t="shared" si="18"/>
        <v>2007</v>
      </c>
      <c r="W32" s="25">
        <f>Base_Med_Tri!J12</f>
        <v>78151</v>
      </c>
      <c r="X32" s="35">
        <f>Base_Med_Tri!J57</f>
        <v>1.0446082560000001</v>
      </c>
      <c r="Y32" s="36">
        <f t="shared" si="21"/>
        <v>81637.179814656003</v>
      </c>
    </row>
    <row r="33" spans="2:25">
      <c r="B33" s="62">
        <f t="shared" si="19"/>
        <v>-7</v>
      </c>
      <c r="C33" s="23" t="s">
        <v>69</v>
      </c>
      <c r="Q33" s="32">
        <f>Base_Indem_Tri!A13</f>
        <v>2008</v>
      </c>
      <c r="R33" s="25">
        <f>Base_Indem_Tri!I13</f>
        <v>70556</v>
      </c>
      <c r="S33" s="35">
        <f>Base_Indem_Tri!I57</f>
        <v>0.99408340558249197</v>
      </c>
      <c r="T33" s="36">
        <f t="shared" si="20"/>
        <v>70138.548764278297</v>
      </c>
      <c r="V33" s="32">
        <f t="shared" si="18"/>
        <v>2008</v>
      </c>
      <c r="W33" s="25">
        <f>Base_Med_Tri!I13</f>
        <v>75760</v>
      </c>
      <c r="X33" s="35">
        <f>Base_Med_Tri!I57</f>
        <v>1.07594650368</v>
      </c>
      <c r="Y33" s="36">
        <f t="shared" si="21"/>
        <v>81513.707118796796</v>
      </c>
    </row>
    <row r="34" spans="2:25">
      <c r="Q34" s="32">
        <f>Base_Indem_Tri!A14</f>
        <v>2009</v>
      </c>
      <c r="R34" s="25">
        <f>Base_Indem_Tri!H14</f>
        <v>74956</v>
      </c>
      <c r="S34" s="35">
        <f>Base_Indem_Tri!H57</f>
        <v>0.98678998701344489</v>
      </c>
      <c r="T34" s="36">
        <f t="shared" si="20"/>
        <v>73965.830266579782</v>
      </c>
      <c r="V34" s="32">
        <f t="shared" si="18"/>
        <v>2009</v>
      </c>
      <c r="W34" s="25">
        <f>Base_Med_Tri!H14</f>
        <v>79969</v>
      </c>
      <c r="X34" s="35">
        <f>Base_Med_Tri!H57</f>
        <v>1.0770224501836798</v>
      </c>
      <c r="Y34" s="36">
        <f t="shared" si="21"/>
        <v>86128.408318738686</v>
      </c>
    </row>
    <row r="35" spans="2:25">
      <c r="Q35" s="32">
        <f>Base_Indem_Tri!A15</f>
        <v>2010</v>
      </c>
      <c r="R35" s="25">
        <f>Base_Indem_Tri!G15</f>
        <v>71116</v>
      </c>
      <c r="S35" s="35">
        <f>Base_Indem_Tri!G57</f>
        <v>0.9844911540113126</v>
      </c>
      <c r="T35" s="36">
        <f t="shared" si="20"/>
        <v>70013.072908668502</v>
      </c>
      <c r="V35" s="32">
        <f t="shared" si="18"/>
        <v>2010</v>
      </c>
      <c r="W35" s="25">
        <f>Base_Med_Tri!G15</f>
        <v>79772</v>
      </c>
      <c r="X35" s="35">
        <f>Base_Med_Tri!G57</f>
        <v>1.0770224501836798</v>
      </c>
      <c r="Y35" s="36">
        <f t="shared" si="21"/>
        <v>85916.234896052512</v>
      </c>
    </row>
    <row r="36" spans="2:25">
      <c r="Q36" s="32">
        <f>Base_Indem_Tri!A16</f>
        <v>2011</v>
      </c>
      <c r="R36" s="25">
        <f>Base_Indem_Tri!F16</f>
        <v>73881</v>
      </c>
      <c r="S36" s="35">
        <f>Base_Indem_Tri!F57</f>
        <v>0.97891424704463681</v>
      </c>
      <c r="T36" s="36">
        <f t="shared" si="20"/>
        <v>72323.163485904806</v>
      </c>
      <c r="V36" s="32">
        <f t="shared" si="18"/>
        <v>2011</v>
      </c>
      <c r="W36" s="25">
        <f>Base_Med_Tri!F16</f>
        <v>83510</v>
      </c>
      <c r="X36" s="35">
        <f>Base_Med_Tri!F57</f>
        <v>1.1007169440877207</v>
      </c>
      <c r="Y36" s="36">
        <f t="shared" si="21"/>
        <v>91920.87200076555</v>
      </c>
    </row>
    <row r="37" spans="2:25">
      <c r="Q37" s="32">
        <f>Base_Indem_Tri!A17</f>
        <v>2012</v>
      </c>
      <c r="R37" s="25">
        <f>Base_Indem_Tri!E17</f>
        <v>81043</v>
      </c>
      <c r="S37" s="35">
        <f>Base_Indem_Tri!E57</f>
        <v>0.97760579381637813</v>
      </c>
      <c r="T37" s="36">
        <f t="shared" si="20"/>
        <v>79228.106348260728</v>
      </c>
      <c r="V37" s="32">
        <f t="shared" si="18"/>
        <v>2012</v>
      </c>
      <c r="W37" s="25">
        <f>Base_Med_Tri!E17</f>
        <v>99409</v>
      </c>
      <c r="X37" s="35">
        <f>Base_Med_Tri!E57</f>
        <v>1.1007169440877207</v>
      </c>
      <c r="Y37" s="36">
        <f t="shared" si="21"/>
        <v>109421.17069481623</v>
      </c>
    </row>
    <row r="38" spans="2:25">
      <c r="Q38" s="32">
        <f>Base_Indem_Tri!A18</f>
        <v>2013</v>
      </c>
      <c r="R38" s="25">
        <f>Base_Indem_Tri!D18</f>
        <v>65798</v>
      </c>
      <c r="S38" s="35">
        <f>Base_Indem_Tri!D57</f>
        <v>1.0005356124634039</v>
      </c>
      <c r="T38" s="36">
        <f t="shared" si="20"/>
        <v>65833.24222886705</v>
      </c>
      <c r="V38" s="32">
        <f t="shared" si="18"/>
        <v>2013</v>
      </c>
      <c r="W38" s="25">
        <f>Base_Med_Tri!D18</f>
        <v>82729</v>
      </c>
      <c r="X38" s="35">
        <f>Base_Med_Tri!D57</f>
        <v>1.1007169440877207</v>
      </c>
      <c r="Y38" s="36">
        <f t="shared" si="21"/>
        <v>91061.212067433051</v>
      </c>
    </row>
    <row r="39" spans="2:25">
      <c r="Q39" s="32">
        <f>Base_Indem_Tri!A19</f>
        <v>2014</v>
      </c>
      <c r="R39" s="25">
        <f>Base_Indem_Tri!C19</f>
        <v>58387</v>
      </c>
      <c r="S39" s="35">
        <f>Base_Indem_Tri!C57</f>
        <v>1.1158931261126801</v>
      </c>
      <c r="T39" s="36">
        <f t="shared" si="20"/>
        <v>65153.651954341054</v>
      </c>
      <c r="V39" s="32">
        <f t="shared" si="18"/>
        <v>2014</v>
      </c>
      <c r="W39" s="25">
        <f>Base_Med_Tri!C19</f>
        <v>84816</v>
      </c>
      <c r="X39" s="35">
        <f>Base_Med_Tri!C57</f>
        <v>1.11062339658451</v>
      </c>
      <c r="Y39" s="36">
        <f t="shared" si="21"/>
        <v>94198.634004711799</v>
      </c>
    </row>
    <row r="40" spans="2:25" ht="14.1" thickBot="1">
      <c r="B40" s="62"/>
      <c r="Q40" s="33">
        <f>Base_Indem_Tri!A20</f>
        <v>2015</v>
      </c>
      <c r="R40" s="34">
        <f>Base_Indem_Tri!B20</f>
        <v>43013</v>
      </c>
      <c r="S40" s="37">
        <f>Base_Indem_Tri!B57</f>
        <v>1.5263001944451657</v>
      </c>
      <c r="T40" s="38">
        <f t="shared" si="20"/>
        <v>65650.750263669921</v>
      </c>
      <c r="V40" s="33">
        <f t="shared" si="18"/>
        <v>2015</v>
      </c>
      <c r="W40" s="34">
        <f>Base_Med_Tri!B20</f>
        <v>66114</v>
      </c>
      <c r="X40" s="37">
        <f>Base_Med_Tri!B57</f>
        <v>1.4293723114042642</v>
      </c>
      <c r="Y40" s="38">
        <f t="shared" si="21"/>
        <v>94501.520996181527</v>
      </c>
    </row>
    <row r="42" spans="2:25">
      <c r="I42" s="65"/>
      <c r="J42" s="65"/>
      <c r="K42" s="65"/>
    </row>
    <row r="43" spans="2:25">
      <c r="I43" s="65"/>
      <c r="J43" s="65"/>
      <c r="K43" s="65"/>
    </row>
    <row r="44" spans="2:25">
      <c r="I44" s="65"/>
      <c r="J44" s="65"/>
      <c r="K44" s="65"/>
    </row>
    <row r="45" spans="2:25">
      <c r="I45" s="65"/>
      <c r="J45" s="65"/>
      <c r="K45" s="65"/>
    </row>
    <row r="46" spans="2:25">
      <c r="I46" s="65"/>
      <c r="J46" s="65"/>
      <c r="K46" s="65"/>
    </row>
    <row r="47" spans="2:25">
      <c r="I47" s="65"/>
      <c r="J47" s="65"/>
      <c r="K47" s="65"/>
    </row>
  </sheetData>
  <mergeCells count="8">
    <mergeCell ref="G6:H6"/>
    <mergeCell ref="I6:J6"/>
    <mergeCell ref="K6:N6"/>
    <mergeCell ref="D7:E7"/>
    <mergeCell ref="G7:H7"/>
    <mergeCell ref="I7:J7"/>
    <mergeCell ref="K7:L7"/>
    <mergeCell ref="M7:N7"/>
  </mergeCells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4" tint="0.39997558519241921"/>
  </sheetPr>
  <dimension ref="A1:BM71"/>
  <sheetViews>
    <sheetView tabSelected="1" topLeftCell="A19" zoomScale="61" zoomScaleNormal="165" workbookViewId="0">
      <selection activeCell="AD33" sqref="AD33"/>
    </sheetView>
  </sheetViews>
  <sheetFormatPr defaultColWidth="8.85546875" defaultRowHeight="12.95"/>
  <cols>
    <col min="1" max="1" width="12.28515625" bestFit="1" customWidth="1"/>
    <col min="2" max="14" width="10.140625" bestFit="1" customWidth="1"/>
    <col min="15" max="16" width="10.140625" customWidth="1"/>
    <col min="17" max="17" width="9.42578125" customWidth="1"/>
    <col min="18" max="18" width="12.28515625" bestFit="1" customWidth="1"/>
    <col min="19" max="31" width="10.140625" customWidth="1"/>
    <col min="53" max="53" width="12.28515625" bestFit="1" customWidth="1"/>
  </cols>
  <sheetData>
    <row r="1" spans="1:53">
      <c r="T1">
        <v>32289</v>
      </c>
      <c r="U1">
        <v>50188</v>
      </c>
      <c r="V1">
        <v>62041</v>
      </c>
    </row>
    <row r="2" spans="1:53">
      <c r="A2" s="1" t="s">
        <v>71</v>
      </c>
      <c r="B2" s="104" t="s">
        <v>72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71"/>
      <c r="P2" s="71"/>
      <c r="Q2" s="71"/>
      <c r="R2" s="1" t="s">
        <v>71</v>
      </c>
      <c r="S2" s="104" t="s">
        <v>73</v>
      </c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>
        <v>9.8242999999999991</v>
      </c>
    </row>
    <row r="3" spans="1:53">
      <c r="A3" s="2" t="s">
        <v>71</v>
      </c>
      <c r="B3" s="104" t="s">
        <v>74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71"/>
      <c r="P3" s="71"/>
      <c r="Q3" s="71"/>
      <c r="R3" s="2" t="s">
        <v>71</v>
      </c>
      <c r="S3" s="104" t="s">
        <v>75</v>
      </c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>
        <v>9.3700000000000006E-2</v>
      </c>
      <c r="AJ3" s="73" t="s">
        <v>76</v>
      </c>
      <c r="AP3" s="73"/>
    </row>
    <row r="4" spans="1:53">
      <c r="A4" s="2"/>
      <c r="C4" s="14">
        <f>68446-4000</f>
        <v>64446</v>
      </c>
      <c r="D4" s="81">
        <f>78366-6000</f>
        <v>72366</v>
      </c>
      <c r="E4" s="81">
        <f>81043-8000</f>
        <v>73043</v>
      </c>
      <c r="R4" s="2"/>
      <c r="T4" s="5">
        <f>T17-4000</f>
        <v>24289</v>
      </c>
      <c r="U4" s="5">
        <f>U17-6000</f>
        <v>38188</v>
      </c>
      <c r="V4" s="5">
        <f>V17-8000</f>
        <v>46041</v>
      </c>
      <c r="AY4" s="73" t="s">
        <v>77</v>
      </c>
    </row>
    <row r="5" spans="1:53">
      <c r="A5" s="2" t="s">
        <v>44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44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J5" s="14" t="s">
        <v>54</v>
      </c>
      <c r="AK5" s="14" t="s">
        <v>78</v>
      </c>
      <c r="AL5" s="14" t="s">
        <v>79</v>
      </c>
      <c r="AO5" t="s">
        <v>80</v>
      </c>
      <c r="AP5" s="90">
        <v>861263</v>
      </c>
      <c r="AQ5" s="14"/>
      <c r="AY5" s="14" t="s">
        <v>81</v>
      </c>
      <c r="AZ5" s="14" t="s">
        <v>82</v>
      </c>
      <c r="BA5" s="14" t="s">
        <v>83</v>
      </c>
    </row>
    <row r="6" spans="1:53" ht="12.75">
      <c r="A6" s="3" t="s">
        <v>54</v>
      </c>
      <c r="B6" s="2">
        <v>12</v>
      </c>
      <c r="C6" s="2">
        <v>24</v>
      </c>
      <c r="D6" s="2">
        <v>36</v>
      </c>
      <c r="E6" s="2">
        <v>48</v>
      </c>
      <c r="F6" s="2">
        <v>60</v>
      </c>
      <c r="G6" s="2">
        <v>72</v>
      </c>
      <c r="H6" s="2">
        <v>84</v>
      </c>
      <c r="I6" s="2">
        <v>96</v>
      </c>
      <c r="J6" s="2">
        <v>108</v>
      </c>
      <c r="K6" s="2">
        <v>120</v>
      </c>
      <c r="L6" s="2">
        <v>132</v>
      </c>
      <c r="M6" s="2">
        <v>144</v>
      </c>
      <c r="N6" s="2">
        <v>156</v>
      </c>
      <c r="O6" s="79" t="s">
        <v>47</v>
      </c>
      <c r="P6" s="79" t="s">
        <v>84</v>
      </c>
      <c r="Q6" s="79"/>
      <c r="R6" s="3" t="s">
        <v>54</v>
      </c>
      <c r="S6" s="2">
        <v>12</v>
      </c>
      <c r="T6" s="2">
        <v>24</v>
      </c>
      <c r="U6" s="2">
        <v>36</v>
      </c>
      <c r="V6" s="2">
        <v>48</v>
      </c>
      <c r="W6" s="2">
        <v>60</v>
      </c>
      <c r="X6" s="2">
        <v>72</v>
      </c>
      <c r="Y6" s="2">
        <v>84</v>
      </c>
      <c r="Z6" s="2">
        <v>96</v>
      </c>
      <c r="AA6" s="2">
        <v>108</v>
      </c>
      <c r="AB6" s="2">
        <v>120</v>
      </c>
      <c r="AC6" s="2">
        <v>132</v>
      </c>
      <c r="AD6" s="2">
        <v>144</v>
      </c>
      <c r="AE6" s="2">
        <v>156</v>
      </c>
      <c r="AF6" s="76" t="s">
        <v>47</v>
      </c>
      <c r="AG6" s="88" t="s">
        <v>85</v>
      </c>
      <c r="AH6" s="88">
        <f>SUM(AF8:AF20)-AF17+AG17</f>
        <v>988232.88233036257</v>
      </c>
      <c r="AO6" t="s">
        <v>86</v>
      </c>
      <c r="AP6" s="76">
        <v>988232</v>
      </c>
      <c r="AY6">
        <v>156</v>
      </c>
      <c r="AZ6">
        <f>1 + 9.8243 * EXP(-0.0937*AY6)</f>
        <v>1.0000044068910625</v>
      </c>
      <c r="BA6">
        <f>0.9864+0.3978*EXP(-1.3083*AY6)</f>
        <v>0.98640000000000005</v>
      </c>
    </row>
    <row r="7" spans="1:53">
      <c r="A7" s="3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Y7">
        <f>AY6+12</f>
        <v>168</v>
      </c>
      <c r="AZ7">
        <f t="shared" ref="AZ7:AZ33" si="0">1 + 9.8243 * EXP(-0.0937*AY7)</f>
        <v>1.0000014315667392</v>
      </c>
      <c r="BA7">
        <f t="shared" ref="BA7:BA33" si="1">0.9864+0.3978*EXP(-1.3083*AY7)</f>
        <v>0.98640000000000005</v>
      </c>
    </row>
    <row r="8" spans="1:53" ht="12.75">
      <c r="A8" s="2">
        <v>2003</v>
      </c>
      <c r="B8" s="8"/>
      <c r="C8" s="13"/>
      <c r="D8" s="13"/>
      <c r="E8" s="13"/>
      <c r="F8" s="13"/>
      <c r="G8" s="13"/>
      <c r="H8" s="13"/>
      <c r="I8" s="81">
        <v>70541</v>
      </c>
      <c r="J8" s="81">
        <v>71920</v>
      </c>
      <c r="K8" s="81">
        <v>72610</v>
      </c>
      <c r="L8" s="81">
        <v>71234</v>
      </c>
      <c r="M8" s="81">
        <v>72600</v>
      </c>
      <c r="N8" s="81">
        <v>71881</v>
      </c>
      <c r="O8" s="87">
        <f>N8</f>
        <v>71881</v>
      </c>
      <c r="P8" s="13">
        <f>SUM(O8:O20)</f>
        <v>861262.76188731019</v>
      </c>
      <c r="Q8" s="13"/>
      <c r="R8" s="2">
        <v>2003</v>
      </c>
      <c r="S8" s="8"/>
      <c r="T8" s="13"/>
      <c r="U8" s="13"/>
      <c r="V8" s="13"/>
      <c r="W8" s="13"/>
      <c r="X8" s="13"/>
      <c r="Y8" s="13"/>
      <c r="Z8" s="13">
        <v>66618.247451343836</v>
      </c>
      <c r="AA8" s="13">
        <v>68315.439409841711</v>
      </c>
      <c r="AB8" s="13">
        <v>69881.816485209361</v>
      </c>
      <c r="AC8" s="13">
        <v>69881.816485209361</v>
      </c>
      <c r="AD8" s="13">
        <v>71381.512214069022</v>
      </c>
      <c r="AE8" s="13">
        <v>71881.089000000007</v>
      </c>
      <c r="AF8" s="76">
        <f>AE8*1.0000065</f>
        <v>71881.556227078516</v>
      </c>
      <c r="AY8">
        <f>AY7+12</f>
        <v>180</v>
      </c>
      <c r="AZ8">
        <f>1 + 9.8243 * EXP(-0.0937*AY8)</f>
        <v>1.0000004650406147</v>
      </c>
      <c r="BA8">
        <f t="shared" si="1"/>
        <v>0.98640000000000005</v>
      </c>
    </row>
    <row r="9" spans="1:53" ht="12.75">
      <c r="A9" s="2">
        <v>2004</v>
      </c>
      <c r="B9" s="13"/>
      <c r="C9" s="13"/>
      <c r="D9" s="13"/>
      <c r="E9" s="13"/>
      <c r="F9" s="13"/>
      <c r="G9" s="13"/>
      <c r="H9" s="81">
        <v>69295</v>
      </c>
      <c r="I9" s="81">
        <v>68810</v>
      </c>
      <c r="J9" s="81">
        <v>72057</v>
      </c>
      <c r="K9" s="81">
        <v>72752</v>
      </c>
      <c r="L9" s="81">
        <v>74586</v>
      </c>
      <c r="M9" s="81">
        <v>73970</v>
      </c>
      <c r="N9" s="75">
        <f>M9*0.988</f>
        <v>73082.36</v>
      </c>
      <c r="O9" s="87">
        <f t="shared" ref="O9:O20" si="2">N9</f>
        <v>73082.36</v>
      </c>
      <c r="P9" s="13"/>
      <c r="Q9" s="13"/>
      <c r="R9" s="2">
        <v>2004</v>
      </c>
      <c r="S9" s="13"/>
      <c r="T9" s="13"/>
      <c r="U9" s="13"/>
      <c r="V9" s="13"/>
      <c r="W9" s="13"/>
      <c r="X9" s="13"/>
      <c r="Y9" s="13">
        <v>64521.019537534761</v>
      </c>
      <c r="Z9" s="13">
        <v>65488.834830597778</v>
      </c>
      <c r="AA9" s="13">
        <v>67935.673215340605</v>
      </c>
      <c r="AB9" s="13">
        <v>68906.783931780534</v>
      </c>
      <c r="AC9" s="13">
        <v>71345.865118450456</v>
      </c>
      <c r="AD9" s="13">
        <v>72728.843664390704</v>
      </c>
      <c r="AE9" s="75">
        <f>AD9*1.007</f>
        <v>73237.945570041426</v>
      </c>
      <c r="AF9" s="76">
        <f t="shared" ref="AF9:AF20" si="3">AE9*1.0000065</f>
        <v>73238.421616687629</v>
      </c>
      <c r="AY9">
        <f>AY8+12</f>
        <v>192</v>
      </c>
      <c r="AZ9">
        <f t="shared" si="0"/>
        <v>1.0000001510671961</v>
      </c>
      <c r="BA9">
        <f t="shared" si="1"/>
        <v>0.98640000000000005</v>
      </c>
    </row>
    <row r="10" spans="1:53" ht="12.75">
      <c r="A10" s="2">
        <v>2005</v>
      </c>
      <c r="B10" s="13"/>
      <c r="C10" s="13"/>
      <c r="D10" s="13"/>
      <c r="E10" s="13"/>
      <c r="F10" s="13"/>
      <c r="G10" s="81">
        <v>70202</v>
      </c>
      <c r="H10" s="81">
        <v>69641</v>
      </c>
      <c r="I10" s="81">
        <v>69501</v>
      </c>
      <c r="J10" s="81">
        <v>69047</v>
      </c>
      <c r="K10" s="81">
        <v>70449</v>
      </c>
      <c r="L10" s="81">
        <v>70034</v>
      </c>
      <c r="M10" s="75">
        <f>L10*0.997</f>
        <v>69823.898000000001</v>
      </c>
      <c r="N10" s="75">
        <f t="shared" ref="N10:N20" si="4">M10*0.988</f>
        <v>68986.011224000002</v>
      </c>
      <c r="O10" s="87">
        <f t="shared" si="2"/>
        <v>68986.011224000002</v>
      </c>
      <c r="Q10" s="13"/>
      <c r="R10" s="2">
        <v>2005</v>
      </c>
      <c r="S10" s="13"/>
      <c r="T10" s="13"/>
      <c r="U10" s="13"/>
      <c r="V10" s="13"/>
      <c r="W10" s="13"/>
      <c r="X10" s="13">
        <v>61869.596218456099</v>
      </c>
      <c r="Y10" s="13">
        <v>63725.684105009786</v>
      </c>
      <c r="Z10" s="13">
        <v>65127.649155320003</v>
      </c>
      <c r="AA10" s="13">
        <v>65354.779287303165</v>
      </c>
      <c r="AB10" s="13">
        <v>67075.926935672964</v>
      </c>
      <c r="AC10" s="13">
        <v>67848.68456158253</v>
      </c>
      <c r="AD10" s="75">
        <f>AC10*1.02</f>
        <v>69205.658252814188</v>
      </c>
      <c r="AE10" s="75">
        <f t="shared" ref="AE10:AE20" si="5">AD10*1.007</f>
        <v>69690.097860583875</v>
      </c>
      <c r="AF10" s="76">
        <f t="shared" si="3"/>
        <v>69690.550846219965</v>
      </c>
      <c r="AY10">
        <f>AY9+12</f>
        <v>204</v>
      </c>
      <c r="AZ10">
        <f t="shared" si="0"/>
        <v>1.0000000490737735</v>
      </c>
      <c r="BA10">
        <f t="shared" si="1"/>
        <v>0.98640000000000005</v>
      </c>
    </row>
    <row r="11" spans="1:53" ht="12.75">
      <c r="A11" s="2">
        <v>2006</v>
      </c>
      <c r="B11" s="13"/>
      <c r="C11" s="13"/>
      <c r="D11" s="13"/>
      <c r="E11" s="13"/>
      <c r="F11" s="81">
        <v>68892</v>
      </c>
      <c r="G11" s="81">
        <v>68272</v>
      </c>
      <c r="H11" s="81">
        <v>67384</v>
      </c>
      <c r="I11" s="81">
        <v>67587</v>
      </c>
      <c r="J11" s="81">
        <v>68023</v>
      </c>
      <c r="K11" s="81">
        <v>67340</v>
      </c>
      <c r="L11" s="75">
        <f>K11*0.992</f>
        <v>66801.279999999999</v>
      </c>
      <c r="M11" s="75">
        <f t="shared" ref="M11:M20" si="6">L11*0.997</f>
        <v>66600.87616</v>
      </c>
      <c r="N11" s="75">
        <f t="shared" si="4"/>
        <v>65801.66564608</v>
      </c>
      <c r="O11" s="87">
        <f t="shared" si="2"/>
        <v>65801.66564608</v>
      </c>
      <c r="P11" s="13"/>
      <c r="Q11" s="13"/>
      <c r="R11" s="2">
        <v>2006</v>
      </c>
      <c r="S11" s="13"/>
      <c r="T11" s="13"/>
      <c r="U11" s="13"/>
      <c r="V11" s="13"/>
      <c r="W11" s="13">
        <v>55420.943612674811</v>
      </c>
      <c r="X11" s="13">
        <v>58746.200229435301</v>
      </c>
      <c r="Y11" s="13">
        <v>60626.078636777231</v>
      </c>
      <c r="Z11" s="13">
        <v>62141.730602696654</v>
      </c>
      <c r="AA11" s="13">
        <v>63606.318372953741</v>
      </c>
      <c r="AB11" s="13">
        <v>64300.663794834531</v>
      </c>
      <c r="AC11" s="75">
        <f>AB11*1.068</f>
        <v>68673.10893288329</v>
      </c>
      <c r="AD11" s="75">
        <f t="shared" ref="AD11:AD20" si="7">AC11*1.02</f>
        <v>70046.57111154095</v>
      </c>
      <c r="AE11" s="75">
        <f t="shared" si="5"/>
        <v>70536.897109321726</v>
      </c>
      <c r="AF11" s="76">
        <f t="shared" si="3"/>
        <v>70537.355599152943</v>
      </c>
      <c r="AY11">
        <f>AY10+12</f>
        <v>216</v>
      </c>
      <c r="AZ11">
        <f t="shared" si="0"/>
        <v>1.0000000159414837</v>
      </c>
      <c r="BA11">
        <f t="shared" si="1"/>
        <v>0.98640000000000005</v>
      </c>
    </row>
    <row r="12" spans="1:53" ht="12.75">
      <c r="A12" s="2">
        <v>2007</v>
      </c>
      <c r="B12" s="13"/>
      <c r="C12" s="13"/>
      <c r="D12" s="13"/>
      <c r="E12" s="81">
        <v>69499</v>
      </c>
      <c r="F12" s="81">
        <v>69569</v>
      </c>
      <c r="G12" s="81">
        <v>69221</v>
      </c>
      <c r="H12" s="81">
        <v>69429</v>
      </c>
      <c r="I12" s="81">
        <v>68735</v>
      </c>
      <c r="J12" s="81">
        <v>68355</v>
      </c>
      <c r="K12" s="75">
        <f>J12*0.991</f>
        <v>67739.804999999993</v>
      </c>
      <c r="L12" s="75">
        <f t="shared" ref="L12:L20" si="8">K12*0.992</f>
        <v>67197.886559999999</v>
      </c>
      <c r="M12" s="75">
        <f t="shared" si="6"/>
        <v>66996.292900319997</v>
      </c>
      <c r="N12" s="75">
        <f t="shared" si="4"/>
        <v>66192.337385516163</v>
      </c>
      <c r="O12" s="87">
        <f t="shared" si="2"/>
        <v>66192.337385516163</v>
      </c>
      <c r="P12" s="13"/>
      <c r="Q12" s="13"/>
      <c r="R12" s="2">
        <v>2007</v>
      </c>
      <c r="S12" s="13"/>
      <c r="T12" s="13"/>
      <c r="U12" s="13"/>
      <c r="V12" s="13">
        <v>50694.622756417011</v>
      </c>
      <c r="W12" s="13">
        <v>56524.504373404969</v>
      </c>
      <c r="X12" s="13">
        <v>60255.1216620497</v>
      </c>
      <c r="Y12" s="13">
        <v>62665.326528531688</v>
      </c>
      <c r="Z12" s="13">
        <v>63730.637079516724</v>
      </c>
      <c r="AA12" s="13">
        <v>64477.684515965142</v>
      </c>
      <c r="AB12" s="75">
        <f>AA12*1.017</f>
        <v>65573.805152736546</v>
      </c>
      <c r="AC12" s="75">
        <f t="shared" ref="AC12:AC20" si="9">AB12*1.068</f>
        <v>70032.82390312264</v>
      </c>
      <c r="AD12" s="75">
        <f t="shared" si="7"/>
        <v>71433.480381185102</v>
      </c>
      <c r="AE12" s="75">
        <f t="shared" si="5"/>
        <v>71933.51474385339</v>
      </c>
      <c r="AF12" s="76">
        <f t="shared" si="3"/>
        <v>71933.982311699219</v>
      </c>
      <c r="AJ12">
        <v>2010</v>
      </c>
      <c r="AK12">
        <v>1.64</v>
      </c>
      <c r="AL12">
        <f>1 +AK12/100</f>
        <v>1.0164</v>
      </c>
      <c r="AM12">
        <v>1.0164</v>
      </c>
      <c r="AY12">
        <f>AY11+12</f>
        <v>228</v>
      </c>
      <c r="AZ12">
        <f t="shared" si="0"/>
        <v>1.0000000051785483</v>
      </c>
      <c r="BA12">
        <f t="shared" si="1"/>
        <v>0.98640000000000005</v>
      </c>
    </row>
    <row r="13" spans="1:53" ht="12.75">
      <c r="A13" s="2">
        <v>2008</v>
      </c>
      <c r="B13" s="13"/>
      <c r="C13" s="13"/>
      <c r="D13" s="81">
        <v>69207</v>
      </c>
      <c r="E13" s="81">
        <v>71629</v>
      </c>
      <c r="F13" s="81">
        <v>71915</v>
      </c>
      <c r="G13" s="81">
        <v>71412</v>
      </c>
      <c r="H13" s="81">
        <v>71269</v>
      </c>
      <c r="I13" s="81">
        <v>70556</v>
      </c>
      <c r="J13" s="75">
        <f>I13*0.992</f>
        <v>69991.551999999996</v>
      </c>
      <c r="K13" s="75">
        <f>J13*0.991</f>
        <v>69361.628031999993</v>
      </c>
      <c r="L13" s="75">
        <f t="shared" si="8"/>
        <v>68806.735007743991</v>
      </c>
      <c r="M13" s="75">
        <f t="shared" si="6"/>
        <v>68600.314802720764</v>
      </c>
      <c r="N13" s="75">
        <f t="shared" si="4"/>
        <v>67777.111025088117</v>
      </c>
      <c r="O13" s="87">
        <f t="shared" si="2"/>
        <v>67777.111025088117</v>
      </c>
      <c r="P13" s="13"/>
      <c r="R13" s="2">
        <v>2008</v>
      </c>
      <c r="S13" s="13"/>
      <c r="T13" s="13"/>
      <c r="U13" s="13">
        <v>43162.458454962092</v>
      </c>
      <c r="V13" s="13">
        <v>52312.899647414059</v>
      </c>
      <c r="W13" s="13">
        <v>59479.766899109789</v>
      </c>
      <c r="X13" s="13">
        <v>62870.11361235904</v>
      </c>
      <c r="Y13" s="13">
        <v>64756.217020729811</v>
      </c>
      <c r="Z13" s="13">
        <v>65727.560276040749</v>
      </c>
      <c r="AA13" s="75">
        <f>Z13*1.018</f>
        <v>66910.656361009489</v>
      </c>
      <c r="AB13" s="75">
        <f>AA13*1.017</f>
        <v>68048.13751914665</v>
      </c>
      <c r="AC13" s="75">
        <f t="shared" si="9"/>
        <v>72675.410870448628</v>
      </c>
      <c r="AD13" s="75">
        <f t="shared" si="7"/>
        <v>74128.919087857605</v>
      </c>
      <c r="AE13" s="75">
        <f t="shared" si="5"/>
        <v>74647.821521472593</v>
      </c>
      <c r="AF13" s="76">
        <f t="shared" si="3"/>
        <v>74648.306732312485</v>
      </c>
      <c r="AJ13">
        <v>2011</v>
      </c>
      <c r="AK13">
        <v>3.16</v>
      </c>
      <c r="AL13">
        <f xml:space="preserve"> AL12*(1+AK13/100)</f>
        <v>1.0485182399999999</v>
      </c>
      <c r="AM13">
        <v>1.04518</v>
      </c>
      <c r="AY13">
        <f>AY12+12</f>
        <v>240</v>
      </c>
      <c r="AZ13">
        <f t="shared" si="0"/>
        <v>1.0000000016822375</v>
      </c>
      <c r="BA13">
        <f t="shared" si="1"/>
        <v>0.98640000000000005</v>
      </c>
    </row>
    <row r="14" spans="1:53" ht="12.75">
      <c r="A14" s="2">
        <v>2009</v>
      </c>
      <c r="B14" s="13"/>
      <c r="C14" s="81">
        <v>66891</v>
      </c>
      <c r="D14" s="81">
        <v>73513</v>
      </c>
      <c r="E14" s="81">
        <v>75939</v>
      </c>
      <c r="F14" s="81">
        <v>75635</v>
      </c>
      <c r="G14" s="81">
        <v>75257</v>
      </c>
      <c r="H14" s="81">
        <v>74956</v>
      </c>
      <c r="I14" s="75">
        <f>H14*0.979</f>
        <v>73381.923999999999</v>
      </c>
      <c r="J14" s="75">
        <f t="shared" ref="J14:J20" si="10">I14*0.992</f>
        <v>72794.868608000004</v>
      </c>
      <c r="K14" s="75">
        <f>J14*0.991</f>
        <v>72139.714790528</v>
      </c>
      <c r="L14" s="75">
        <f t="shared" si="8"/>
        <v>71562.597072203775</v>
      </c>
      <c r="M14" s="75">
        <f t="shared" si="6"/>
        <v>71347.909280987165</v>
      </c>
      <c r="N14" s="75">
        <f t="shared" si="4"/>
        <v>70491.734369615326</v>
      </c>
      <c r="O14" s="87">
        <f t="shared" si="2"/>
        <v>70491.734369615326</v>
      </c>
      <c r="R14" s="2">
        <v>2009</v>
      </c>
      <c r="S14" s="13"/>
      <c r="T14" s="13">
        <v>29996.407143793916</v>
      </c>
      <c r="U14" s="13">
        <v>45234.581972841224</v>
      </c>
      <c r="V14" s="13">
        <v>55909.943318431753</v>
      </c>
      <c r="W14" s="13">
        <v>62507.31663000671</v>
      </c>
      <c r="X14" s="13">
        <v>66320.262944437112</v>
      </c>
      <c r="Y14" s="13">
        <v>68110.910043936907</v>
      </c>
      <c r="Z14" s="75">
        <f>Y14*1.019</f>
        <v>69405.017334771706</v>
      </c>
      <c r="AA14" s="75">
        <f t="shared" ref="AA14:AA20" si="11">Z14*1.018</f>
        <v>70654.307646797592</v>
      </c>
      <c r="AB14" s="75">
        <f>AA14*1.017</f>
        <v>71855.430876793151</v>
      </c>
      <c r="AC14" s="75">
        <f t="shared" si="9"/>
        <v>76741.600176415086</v>
      </c>
      <c r="AD14" s="75">
        <f t="shared" si="7"/>
        <v>78276.432179943382</v>
      </c>
      <c r="AE14" s="75">
        <f t="shared" si="5"/>
        <v>78824.367205202972</v>
      </c>
      <c r="AF14" s="76">
        <f t="shared" si="3"/>
        <v>78824.879563589813</v>
      </c>
      <c r="AJ14">
        <v>2012</v>
      </c>
      <c r="AK14">
        <v>2.0699999999999998</v>
      </c>
      <c r="AL14">
        <f t="shared" ref="AL14:AL17" si="12" xml:space="preserve"> AL13*(1+AK14/100)</f>
        <v>1.0702225675679999</v>
      </c>
      <c r="AM14">
        <v>1.0702229999999999</v>
      </c>
      <c r="AY14">
        <f>AY13+12</f>
        <v>252</v>
      </c>
      <c r="AZ14">
        <f t="shared" si="0"/>
        <v>1.0000000005464704</v>
      </c>
      <c r="BA14">
        <f t="shared" si="1"/>
        <v>0.98640000000000005</v>
      </c>
    </row>
    <row r="15" spans="1:53" ht="12.75">
      <c r="A15" s="2">
        <v>2010</v>
      </c>
      <c r="B15" s="81">
        <v>47025</v>
      </c>
      <c r="C15" s="81">
        <v>62026</v>
      </c>
      <c r="D15" s="81">
        <v>68849</v>
      </c>
      <c r="E15" s="81">
        <v>71259</v>
      </c>
      <c r="F15" s="81">
        <v>70974</v>
      </c>
      <c r="G15" s="81">
        <v>71116</v>
      </c>
      <c r="H15" s="76">
        <f>G15*0.978</f>
        <v>69551.448000000004</v>
      </c>
      <c r="I15" s="75">
        <f>H15*0.979</f>
        <v>68090.86759200001</v>
      </c>
      <c r="J15" s="75">
        <f t="shared" si="10"/>
        <v>67546.14065126401</v>
      </c>
      <c r="K15" s="75">
        <f t="shared" ref="K15:K20" si="13">J15*0.991</f>
        <v>66938.225385402635</v>
      </c>
      <c r="L15" s="75">
        <f t="shared" si="8"/>
        <v>66402.71958231942</v>
      </c>
      <c r="M15" s="75">
        <f t="shared" si="6"/>
        <v>66203.511423572461</v>
      </c>
      <c r="N15" s="75">
        <f t="shared" si="4"/>
        <v>65409.06928648959</v>
      </c>
      <c r="O15" s="87">
        <f t="shared" si="2"/>
        <v>65409.06928648959</v>
      </c>
      <c r="R15" s="2">
        <v>2010</v>
      </c>
      <c r="S15" s="13">
        <v>10418.129242136674</v>
      </c>
      <c r="T15" s="13">
        <v>27680.969396357144</v>
      </c>
      <c r="U15" s="13">
        <v>42905.502564353577</v>
      </c>
      <c r="V15" s="13">
        <v>52773.768154154895</v>
      </c>
      <c r="W15" s="13">
        <v>58948.299028191017</v>
      </c>
      <c r="X15" s="13">
        <v>62485.196969882483</v>
      </c>
      <c r="Y15" s="76">
        <f>X15*1.031</f>
        <v>64422.238075948837</v>
      </c>
      <c r="Z15" s="75">
        <f t="shared" ref="Z15:Z20" si="14">Y15*1.019</f>
        <v>65646.260599391855</v>
      </c>
      <c r="AA15" s="75">
        <f t="shared" si="11"/>
        <v>66827.893290180917</v>
      </c>
      <c r="AB15" s="75">
        <f t="shared" ref="AB15:AB20" si="15">AA15*1.017</f>
        <v>67963.96747611399</v>
      </c>
      <c r="AC15" s="75">
        <f t="shared" si="9"/>
        <v>72585.517264489739</v>
      </c>
      <c r="AD15" s="75">
        <f t="shared" si="7"/>
        <v>74037.22760977954</v>
      </c>
      <c r="AE15" s="75">
        <f t="shared" si="5"/>
        <v>74555.488203047993</v>
      </c>
      <c r="AF15" s="76">
        <f t="shared" si="3"/>
        <v>74555.97281372131</v>
      </c>
      <c r="AJ15">
        <v>2013</v>
      </c>
      <c r="AK15">
        <v>1.5</v>
      </c>
      <c r="AL15">
        <f t="shared" si="12"/>
        <v>1.0862759060815199</v>
      </c>
      <c r="AM15">
        <v>1.086276</v>
      </c>
      <c r="AY15">
        <f>AY14+12</f>
        <v>264</v>
      </c>
      <c r="AZ15">
        <f t="shared" si="0"/>
        <v>1.0000000001775193</v>
      </c>
      <c r="BA15">
        <f t="shared" si="1"/>
        <v>0.98640000000000005</v>
      </c>
    </row>
    <row r="16" spans="1:53" ht="12.75">
      <c r="A16" s="2">
        <v>2011</v>
      </c>
      <c r="B16" s="81">
        <v>46781</v>
      </c>
      <c r="C16" s="81">
        <v>63996</v>
      </c>
      <c r="D16" s="81">
        <v>71227</v>
      </c>
      <c r="E16" s="81">
        <v>73222</v>
      </c>
      <c r="F16" s="81">
        <v>73881</v>
      </c>
      <c r="G16" s="76">
        <f>F16*0.976</f>
        <v>72107.856</v>
      </c>
      <c r="H16" s="76">
        <f t="shared" ref="H16:H20" si="16">G16*0.978</f>
        <v>70521.483167999992</v>
      </c>
      <c r="I16" s="75">
        <f t="shared" ref="I16:I20" si="17">H16*0.979</f>
        <v>69040.532021471983</v>
      </c>
      <c r="J16" s="75">
        <f t="shared" si="10"/>
        <v>68488.207765300205</v>
      </c>
      <c r="K16" s="75">
        <f t="shared" si="13"/>
        <v>67871.813895412502</v>
      </c>
      <c r="L16" s="75">
        <f t="shared" si="8"/>
        <v>67328.839384249208</v>
      </c>
      <c r="M16" s="75">
        <f t="shared" si="6"/>
        <v>67126.852866096466</v>
      </c>
      <c r="N16" s="75">
        <f t="shared" si="4"/>
        <v>66321.330631703313</v>
      </c>
      <c r="O16" s="87">
        <f t="shared" si="2"/>
        <v>66321.330631703313</v>
      </c>
      <c r="P16" s="8"/>
      <c r="Q16" s="8"/>
      <c r="R16" s="2">
        <v>2011</v>
      </c>
      <c r="S16" s="13">
        <v>10469.767690959055</v>
      </c>
      <c r="T16" s="13">
        <v>28634.814634773014</v>
      </c>
      <c r="U16" s="13">
        <v>44269.423425359084</v>
      </c>
      <c r="V16" s="13">
        <v>54717.007353743829</v>
      </c>
      <c r="W16" s="13">
        <v>61009.463199424368</v>
      </c>
      <c r="X16" s="76">
        <f>W16*1.061</f>
        <v>64731.040454589252</v>
      </c>
      <c r="Y16" s="76">
        <f t="shared" ref="Y16:Y20" si="18">X16*1.031</f>
        <v>66737.702708681507</v>
      </c>
      <c r="Z16" s="75">
        <f t="shared" si="14"/>
        <v>68005.719060146454</v>
      </c>
      <c r="AA16" s="75">
        <f t="shared" si="11"/>
        <v>69229.822003229085</v>
      </c>
      <c r="AB16" s="75">
        <f t="shared" si="15"/>
        <v>70406.728977283972</v>
      </c>
      <c r="AC16" s="75">
        <f t="shared" si="9"/>
        <v>75194.386547739283</v>
      </c>
      <c r="AD16" s="75">
        <f t="shared" si="7"/>
        <v>76698.274278694065</v>
      </c>
      <c r="AE16" s="75">
        <f t="shared" si="5"/>
        <v>77235.162198644917</v>
      </c>
      <c r="AF16" s="76">
        <f t="shared" si="3"/>
        <v>77235.664227199217</v>
      </c>
      <c r="AJ16">
        <v>2014</v>
      </c>
      <c r="AK16">
        <v>1.6</v>
      </c>
      <c r="AL16">
        <f t="shared" si="12"/>
        <v>1.1036563205788243</v>
      </c>
      <c r="AM16">
        <v>1.103656</v>
      </c>
      <c r="AY16">
        <f>AY15+12</f>
        <v>276</v>
      </c>
      <c r="AZ16">
        <f t="shared" si="0"/>
        <v>1.0000000000576668</v>
      </c>
      <c r="BA16">
        <f t="shared" si="1"/>
        <v>0.98640000000000005</v>
      </c>
    </row>
    <row r="17" spans="1:53" ht="12.75">
      <c r="A17" s="2">
        <v>2012</v>
      </c>
      <c r="B17" s="81">
        <v>46352</v>
      </c>
      <c r="C17" s="81">
        <v>68446</v>
      </c>
      <c r="D17" s="81">
        <v>78366</v>
      </c>
      <c r="E17" s="81">
        <v>81043</v>
      </c>
      <c r="F17" s="76">
        <f>E17*0.981</f>
        <v>79503.183000000005</v>
      </c>
      <c r="G17" s="76">
        <f t="shared" ref="G17:G20" si="19">F17*0.976</f>
        <v>77595.106608000002</v>
      </c>
      <c r="H17" s="76">
        <f t="shared" si="16"/>
        <v>75888.014262623998</v>
      </c>
      <c r="I17" s="75">
        <f t="shared" si="17"/>
        <v>74294.365963108896</v>
      </c>
      <c r="J17" s="75">
        <f t="shared" si="10"/>
        <v>73700.011035404023</v>
      </c>
      <c r="K17" s="75">
        <f t="shared" si="13"/>
        <v>73036.710936085379</v>
      </c>
      <c r="L17" s="75">
        <f t="shared" si="8"/>
        <v>72452.417248596699</v>
      </c>
      <c r="M17" s="75">
        <f t="shared" si="6"/>
        <v>72235.059996850905</v>
      </c>
      <c r="N17" s="75">
        <f t="shared" si="4"/>
        <v>71368.239276888693</v>
      </c>
      <c r="O17" s="87">
        <f t="shared" si="2"/>
        <v>71368.239276888693</v>
      </c>
      <c r="P17" s="8"/>
      <c r="Q17" s="8"/>
      <c r="R17" s="74">
        <v>2012</v>
      </c>
      <c r="S17" s="72">
        <v>9887.8310386217054</v>
      </c>
      <c r="T17" s="72">
        <v>28289</v>
      </c>
      <c r="U17" s="13">
        <v>44188</v>
      </c>
      <c r="V17" s="13">
        <v>54041</v>
      </c>
      <c r="W17" s="78">
        <f>V1*1.119</f>
        <v>69423.879000000001</v>
      </c>
      <c r="X17" s="76">
        <f t="shared" ref="X17:X20" si="20">W17*1.061</f>
        <v>73658.735618999999</v>
      </c>
      <c r="Y17" s="76">
        <f t="shared" si="18"/>
        <v>75942.156423188993</v>
      </c>
      <c r="Z17" s="75">
        <f t="shared" si="14"/>
        <v>77385.057395229582</v>
      </c>
      <c r="AA17" s="75">
        <f t="shared" si="11"/>
        <v>78777.988428343713</v>
      </c>
      <c r="AB17" s="75">
        <f t="shared" si="15"/>
        <v>80117.214231625549</v>
      </c>
      <c r="AC17" s="75">
        <f t="shared" si="9"/>
        <v>85565.184799376089</v>
      </c>
      <c r="AD17" s="75">
        <f t="shared" si="7"/>
        <v>87276.488495363606</v>
      </c>
      <c r="AE17" s="75">
        <f t="shared" si="5"/>
        <v>87887.423914831146</v>
      </c>
      <c r="AF17" s="76">
        <f t="shared" si="3"/>
        <v>87887.99518308659</v>
      </c>
      <c r="AG17" s="76">
        <f>AF17+8000</f>
        <v>95887.99518308659</v>
      </c>
      <c r="AJ17">
        <v>2015</v>
      </c>
      <c r="AK17">
        <v>0.18</v>
      </c>
      <c r="AL17">
        <f t="shared" si="12"/>
        <v>1.1056429019558662</v>
      </c>
      <c r="AM17">
        <v>1.1056429999999999</v>
      </c>
      <c r="AY17">
        <f>AY16+12</f>
        <v>288</v>
      </c>
      <c r="AZ17">
        <f t="shared" si="0"/>
        <v>1.0000000000187328</v>
      </c>
      <c r="BA17">
        <f t="shared" si="1"/>
        <v>0.98640000000000005</v>
      </c>
    </row>
    <row r="18" spans="1:53" ht="12.75">
      <c r="A18" s="2">
        <v>2013</v>
      </c>
      <c r="B18" s="81">
        <v>42577</v>
      </c>
      <c r="C18" s="81">
        <v>57266</v>
      </c>
      <c r="D18" s="81">
        <v>65798</v>
      </c>
      <c r="E18" s="76">
        <f>D18*1.01</f>
        <v>66455.98</v>
      </c>
      <c r="F18" s="76">
        <f t="shared" ref="F18:F20" si="21">E18*0.981</f>
        <v>65193.316379999997</v>
      </c>
      <c r="G18" s="76">
        <f t="shared" si="19"/>
        <v>63628.676786879994</v>
      </c>
      <c r="H18" s="76">
        <f t="shared" si="16"/>
        <v>62228.84589756863</v>
      </c>
      <c r="I18" s="75">
        <f>H18*0.979</f>
        <v>60922.040133719689</v>
      </c>
      <c r="J18" s="75">
        <f t="shared" si="10"/>
        <v>60434.663812649931</v>
      </c>
      <c r="K18" s="75">
        <f t="shared" si="13"/>
        <v>59890.75183833608</v>
      </c>
      <c r="L18" s="75">
        <f t="shared" si="8"/>
        <v>59411.625823629394</v>
      </c>
      <c r="M18" s="75">
        <f t="shared" si="6"/>
        <v>59233.390946158506</v>
      </c>
      <c r="N18" s="75">
        <f t="shared" si="4"/>
        <v>58522.590254804607</v>
      </c>
      <c r="O18" s="87">
        <f t="shared" si="2"/>
        <v>58522.590254804607</v>
      </c>
      <c r="P18" s="8"/>
      <c r="Q18" s="8"/>
      <c r="R18" s="2">
        <v>2013</v>
      </c>
      <c r="S18" s="13">
        <v>9300.4543205948703</v>
      </c>
      <c r="T18" s="13">
        <v>26831.810714916199</v>
      </c>
      <c r="U18" s="13">
        <v>41159.997636681452</v>
      </c>
      <c r="V18" s="76">
        <f>U18*U49</f>
        <v>50564.798891916515</v>
      </c>
      <c r="W18" s="76">
        <f>V18*1.19</f>
        <v>60172.110681380647</v>
      </c>
      <c r="X18" s="76">
        <f t="shared" si="20"/>
        <v>63842.609432944861</v>
      </c>
      <c r="Y18" s="76">
        <f t="shared" si="18"/>
        <v>65821.730325366152</v>
      </c>
      <c r="Z18" s="75">
        <f t="shared" si="14"/>
        <v>67072.343201548108</v>
      </c>
      <c r="AA18" s="75">
        <f t="shared" si="11"/>
        <v>68279.64537917597</v>
      </c>
      <c r="AB18" s="75">
        <f t="shared" si="15"/>
        <v>69440.399350621956</v>
      </c>
      <c r="AC18" s="75">
        <f t="shared" si="9"/>
        <v>74162.346506464251</v>
      </c>
      <c r="AD18" s="75">
        <f t="shared" si="7"/>
        <v>75645.593436593539</v>
      </c>
      <c r="AE18" s="75">
        <f t="shared" si="5"/>
        <v>76175.112590649689</v>
      </c>
      <c r="AF18" s="76">
        <f t="shared" si="3"/>
        <v>76175.607728881529</v>
      </c>
      <c r="AY18">
        <f>AY17+12</f>
        <v>300</v>
      </c>
      <c r="AZ18">
        <f t="shared" si="0"/>
        <v>1.0000000000060854</v>
      </c>
      <c r="BA18">
        <f t="shared" si="1"/>
        <v>0.98640000000000005</v>
      </c>
    </row>
    <row r="19" spans="1:53" ht="12.75">
      <c r="A19" s="2">
        <v>2014</v>
      </c>
      <c r="B19" s="81">
        <v>38744</v>
      </c>
      <c r="C19" s="81">
        <v>58387</v>
      </c>
      <c r="D19" s="76">
        <f>C19*1.101</f>
        <v>64284.087</v>
      </c>
      <c r="E19" s="76">
        <f t="shared" ref="E19:E20" si="22">D19*1.01</f>
        <v>64926.92787</v>
      </c>
      <c r="F19" s="76">
        <f t="shared" si="21"/>
        <v>63693.316240469998</v>
      </c>
      <c r="G19" s="76">
        <f t="shared" si="19"/>
        <v>62164.676650698719</v>
      </c>
      <c r="H19" s="76">
        <f t="shared" si="16"/>
        <v>60797.053764383345</v>
      </c>
      <c r="I19" s="75">
        <f t="shared" si="17"/>
        <v>59520.315635331295</v>
      </c>
      <c r="J19" s="75">
        <f t="shared" si="10"/>
        <v>59044.153110248648</v>
      </c>
      <c r="K19" s="75">
        <f t="shared" si="13"/>
        <v>58512.75573225641</v>
      </c>
      <c r="L19" s="75">
        <f t="shared" si="8"/>
        <v>58044.653686398357</v>
      </c>
      <c r="M19" s="75">
        <f t="shared" si="6"/>
        <v>57870.51972533916</v>
      </c>
      <c r="N19" s="75">
        <f t="shared" si="4"/>
        <v>57176.073488635091</v>
      </c>
      <c r="O19" s="87">
        <f t="shared" si="2"/>
        <v>57176.073488635091</v>
      </c>
      <c r="P19" s="8"/>
      <c r="Q19" s="8"/>
      <c r="R19" s="2">
        <v>2014</v>
      </c>
      <c r="S19" s="13">
        <v>9235.0080469296245</v>
      </c>
      <c r="T19" s="13">
        <v>26495.238086641097</v>
      </c>
      <c r="U19" s="77">
        <f>T19*T49</f>
        <v>40887.587689373664</v>
      </c>
      <c r="V19" s="76">
        <f>U19*U49</f>
        <v>50230.144980529985</v>
      </c>
      <c r="W19" s="76">
        <f t="shared" ref="W19:W20" si="23">V19*1.19</f>
        <v>59773.872526830681</v>
      </c>
      <c r="X19" s="76">
        <f t="shared" si="20"/>
        <v>63420.078750967346</v>
      </c>
      <c r="Y19" s="76">
        <f t="shared" si="18"/>
        <v>65386.101192247326</v>
      </c>
      <c r="Z19" s="75">
        <f t="shared" si="14"/>
        <v>66628.437114900022</v>
      </c>
      <c r="AA19" s="75">
        <f t="shared" si="11"/>
        <v>67827.748982968216</v>
      </c>
      <c r="AB19" s="75">
        <f t="shared" si="15"/>
        <v>68980.820715678667</v>
      </c>
      <c r="AC19" s="75">
        <f t="shared" si="9"/>
        <v>73671.516524344814</v>
      </c>
      <c r="AD19" s="75">
        <f t="shared" si="7"/>
        <v>75144.946854831709</v>
      </c>
      <c r="AE19" s="75">
        <f t="shared" si="5"/>
        <v>75670.961482815517</v>
      </c>
      <c r="AF19" s="76">
        <f t="shared" si="3"/>
        <v>75671.453344065158</v>
      </c>
      <c r="AY19">
        <f>AY18+12</f>
        <v>312</v>
      </c>
      <c r="AZ19">
        <f t="shared" si="0"/>
        <v>1.0000000000019769</v>
      </c>
      <c r="BA19">
        <f t="shared" si="1"/>
        <v>0.98640000000000005</v>
      </c>
    </row>
    <row r="20" spans="1:53" ht="12.75">
      <c r="A20" s="2">
        <v>2015</v>
      </c>
      <c r="B20" s="81">
        <v>43013</v>
      </c>
      <c r="C20" s="76">
        <f>B20*1.383</f>
        <v>59486.978999999999</v>
      </c>
      <c r="D20" s="76">
        <f>C20*1.101</f>
        <v>65495.163879</v>
      </c>
      <c r="E20" s="76">
        <f>D20*1.01</f>
        <v>66150.115517790007</v>
      </c>
      <c r="F20" s="76">
        <f>E20*0.981</f>
        <v>64893.263322951992</v>
      </c>
      <c r="G20" s="76">
        <f t="shared" si="19"/>
        <v>63335.825003201142</v>
      </c>
      <c r="H20" s="76">
        <f t="shared" si="16"/>
        <v>61942.436853130719</v>
      </c>
      <c r="I20" s="75">
        <f t="shared" si="17"/>
        <v>60641.645679214969</v>
      </c>
      <c r="J20" s="75">
        <f t="shared" si="10"/>
        <v>60156.51251378125</v>
      </c>
      <c r="K20" s="75">
        <f t="shared" si="13"/>
        <v>59615.103901157221</v>
      </c>
      <c r="L20" s="75">
        <f t="shared" si="8"/>
        <v>59138.183069947961</v>
      </c>
      <c r="M20" s="75">
        <f t="shared" si="6"/>
        <v>58960.768520738115</v>
      </c>
      <c r="N20" s="75">
        <f t="shared" si="4"/>
        <v>58253.239298489258</v>
      </c>
      <c r="O20" s="87">
        <f t="shared" si="2"/>
        <v>58253.239298489258</v>
      </c>
      <c r="R20" s="2">
        <v>2015</v>
      </c>
      <c r="S20" s="13">
        <v>9643.9884594521136</v>
      </c>
      <c r="T20" s="76">
        <f>S20*S49</f>
        <v>27293.435236065496</v>
      </c>
      <c r="U20" s="77">
        <f>T20*T49</f>
        <v>42119.36963576627</v>
      </c>
      <c r="V20" s="76">
        <f>U20*U49</f>
        <v>51743.381374463301</v>
      </c>
      <c r="W20" s="76">
        <f t="shared" si="23"/>
        <v>61574.623835611324</v>
      </c>
      <c r="X20" s="76">
        <f t="shared" si="20"/>
        <v>65330.67588958361</v>
      </c>
      <c r="Y20" s="76">
        <f t="shared" si="18"/>
        <v>67355.926842160698</v>
      </c>
      <c r="Z20" s="75">
        <f t="shared" si="14"/>
        <v>68635.689452161751</v>
      </c>
      <c r="AA20" s="75">
        <f t="shared" si="11"/>
        <v>69871.131862300666</v>
      </c>
      <c r="AB20" s="75">
        <f t="shared" si="15"/>
        <v>71058.941103959776</v>
      </c>
      <c r="AC20" s="75">
        <f t="shared" si="9"/>
        <v>75890.949099029051</v>
      </c>
      <c r="AD20" s="75">
        <f t="shared" si="7"/>
        <v>77408.768081009635</v>
      </c>
      <c r="AE20" s="75">
        <f t="shared" si="5"/>
        <v>77950.629457576695</v>
      </c>
      <c r="AF20" s="76">
        <f>AE20*1.0000065</f>
        <v>77951.136136668167</v>
      </c>
      <c r="AY20">
        <f>AY19+12</f>
        <v>324</v>
      </c>
      <c r="AZ20">
        <f t="shared" si="0"/>
        <v>1.0000000000006422</v>
      </c>
      <c r="BA20">
        <f t="shared" si="1"/>
        <v>0.98640000000000005</v>
      </c>
    </row>
    <row r="21" spans="1:53">
      <c r="AY21">
        <f>AY20+12</f>
        <v>336</v>
      </c>
      <c r="AZ21">
        <f t="shared" si="0"/>
        <v>1.0000000000002085</v>
      </c>
      <c r="BA21">
        <f t="shared" si="1"/>
        <v>0.98640000000000005</v>
      </c>
    </row>
    <row r="22" spans="1:53">
      <c r="T22" s="8"/>
      <c r="AY22">
        <f>AY21+12</f>
        <v>348</v>
      </c>
      <c r="AZ22">
        <f t="shared" si="0"/>
        <v>1.0000000000000677</v>
      </c>
      <c r="BA22">
        <f t="shared" si="1"/>
        <v>0.98640000000000005</v>
      </c>
    </row>
    <row r="23" spans="1:53">
      <c r="S23" s="13"/>
      <c r="AF23" s="14" t="s">
        <v>87</v>
      </c>
      <c r="AY23">
        <f>AY22+12</f>
        <v>360</v>
      </c>
      <c r="AZ23">
        <f t="shared" si="0"/>
        <v>1.000000000000022</v>
      </c>
      <c r="BA23">
        <f t="shared" si="1"/>
        <v>0.98640000000000005</v>
      </c>
    </row>
    <row r="24" spans="1:53">
      <c r="A24" s="1" t="s">
        <v>71</v>
      </c>
      <c r="B24" s="104" t="s">
        <v>88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71"/>
      <c r="P24" s="71"/>
      <c r="Q24" s="71"/>
      <c r="R24" s="1" t="s">
        <v>71</v>
      </c>
      <c r="S24" s="104" t="s">
        <v>89</v>
      </c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4" t="s">
        <v>90</v>
      </c>
      <c r="AJ24" s="1" t="s">
        <v>71</v>
      </c>
      <c r="AK24" s="104" t="s">
        <v>91</v>
      </c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Y24">
        <f>AY23+12</f>
        <v>372</v>
      </c>
      <c r="AZ24">
        <f t="shared" si="0"/>
        <v>1.0000000000000071</v>
      </c>
      <c r="BA24">
        <f t="shared" si="1"/>
        <v>0.98640000000000005</v>
      </c>
    </row>
    <row r="25" spans="1:53">
      <c r="A25" s="2" t="s">
        <v>71</v>
      </c>
      <c r="B25" s="104" t="s">
        <v>92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71"/>
      <c r="P25" s="71"/>
      <c r="Q25" s="71"/>
      <c r="R25" s="2" t="s">
        <v>71</v>
      </c>
      <c r="S25" s="104" t="s">
        <v>92</v>
      </c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4" t="s">
        <v>93</v>
      </c>
      <c r="AJ25" s="2" t="s">
        <v>71</v>
      </c>
      <c r="AK25" s="104" t="s">
        <v>75</v>
      </c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Y25">
        <f>AY24+12</f>
        <v>384</v>
      </c>
      <c r="AZ25">
        <f t="shared" si="0"/>
        <v>1.0000000000000022</v>
      </c>
      <c r="BA25">
        <f t="shared" si="1"/>
        <v>0.98640000000000005</v>
      </c>
    </row>
    <row r="26" spans="1:53">
      <c r="A26" s="2"/>
      <c r="B26" s="2">
        <v>12</v>
      </c>
      <c r="C26" s="2">
        <v>24</v>
      </c>
      <c r="D26" s="2">
        <v>36</v>
      </c>
      <c r="E26" s="2">
        <v>48</v>
      </c>
      <c r="F26" s="2">
        <v>60</v>
      </c>
      <c r="G26" s="2">
        <v>72</v>
      </c>
      <c r="H26" s="2">
        <v>84</v>
      </c>
      <c r="I26" s="2">
        <v>96</v>
      </c>
      <c r="J26" s="2">
        <v>108</v>
      </c>
      <c r="K26" s="2">
        <v>120</v>
      </c>
      <c r="L26" s="2">
        <v>132</v>
      </c>
      <c r="M26" s="2">
        <v>144</v>
      </c>
      <c r="N26" s="2">
        <v>156</v>
      </c>
      <c r="O26" s="2"/>
      <c r="P26" s="2"/>
      <c r="Q26" s="2"/>
      <c r="R26" s="2"/>
      <c r="S26" s="2">
        <v>12</v>
      </c>
      <c r="T26" s="2">
        <v>24</v>
      </c>
      <c r="U26" s="2">
        <v>36</v>
      </c>
      <c r="V26" s="2">
        <v>48</v>
      </c>
      <c r="W26" s="2">
        <v>60</v>
      </c>
      <c r="X26" s="2">
        <v>72</v>
      </c>
      <c r="Y26" s="2">
        <v>84</v>
      </c>
      <c r="Z26" s="2">
        <v>96</v>
      </c>
      <c r="AA26" s="2">
        <v>108</v>
      </c>
      <c r="AB26" s="2">
        <v>120</v>
      </c>
      <c r="AC26" s="2">
        <v>132</v>
      </c>
      <c r="AD26" s="2">
        <v>144</v>
      </c>
      <c r="AE26" s="2">
        <v>156</v>
      </c>
      <c r="AF26" s="14" t="s">
        <v>94</v>
      </c>
      <c r="AJ26" s="2"/>
      <c r="AY26">
        <f>AY25+12</f>
        <v>396</v>
      </c>
      <c r="AZ26">
        <f t="shared" si="0"/>
        <v>1.0000000000000007</v>
      </c>
      <c r="BA26">
        <f t="shared" si="1"/>
        <v>0.98640000000000005</v>
      </c>
    </row>
    <row r="27" spans="1:53">
      <c r="A27" s="2" t="s">
        <v>44</v>
      </c>
      <c r="B27" s="2" t="s">
        <v>95</v>
      </c>
      <c r="C27" s="2" t="s">
        <v>95</v>
      </c>
      <c r="D27" s="2" t="s">
        <v>95</v>
      </c>
      <c r="E27" s="2" t="s">
        <v>95</v>
      </c>
      <c r="F27" s="2" t="s">
        <v>95</v>
      </c>
      <c r="G27" s="2" t="s">
        <v>95</v>
      </c>
      <c r="H27" s="2" t="s">
        <v>95</v>
      </c>
      <c r="I27" s="2" t="s">
        <v>95</v>
      </c>
      <c r="J27" s="2" t="s">
        <v>95</v>
      </c>
      <c r="K27" s="2" t="s">
        <v>95</v>
      </c>
      <c r="L27" s="2" t="s">
        <v>95</v>
      </c>
      <c r="M27" s="2" t="s">
        <v>95</v>
      </c>
      <c r="N27" s="2" t="s">
        <v>95</v>
      </c>
      <c r="O27" s="2"/>
      <c r="P27" s="2"/>
      <c r="Q27" s="2"/>
      <c r="R27" s="2" t="s">
        <v>44</v>
      </c>
      <c r="S27" s="2" t="s">
        <v>95</v>
      </c>
      <c r="T27" s="2" t="s">
        <v>95</v>
      </c>
      <c r="U27" s="2" t="s">
        <v>95</v>
      </c>
      <c r="V27" s="2" t="s">
        <v>95</v>
      </c>
      <c r="W27" s="2" t="s">
        <v>95</v>
      </c>
      <c r="X27" s="2" t="s">
        <v>95</v>
      </c>
      <c r="Y27" s="2" t="s">
        <v>95</v>
      </c>
      <c r="Z27" s="2" t="s">
        <v>95</v>
      </c>
      <c r="AA27" s="2" t="s">
        <v>95</v>
      </c>
      <c r="AB27" s="2" t="s">
        <v>95</v>
      </c>
      <c r="AC27" s="2" t="s">
        <v>95</v>
      </c>
      <c r="AD27" s="2" t="s">
        <v>95</v>
      </c>
      <c r="AE27" s="2" t="s">
        <v>95</v>
      </c>
      <c r="AJ27" s="2" t="s">
        <v>44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Y27">
        <f>AY26+12</f>
        <v>408</v>
      </c>
      <c r="AZ27">
        <f t="shared" si="0"/>
        <v>1.0000000000000002</v>
      </c>
      <c r="BA27">
        <f t="shared" si="1"/>
        <v>0.98640000000000005</v>
      </c>
    </row>
    <row r="28" spans="1:53">
      <c r="A28" s="3" t="s">
        <v>54</v>
      </c>
      <c r="B28" s="4">
        <v>24</v>
      </c>
      <c r="C28" s="4">
        <v>36</v>
      </c>
      <c r="D28" s="4">
        <v>48</v>
      </c>
      <c r="E28" s="4">
        <v>60</v>
      </c>
      <c r="F28" s="4">
        <v>72</v>
      </c>
      <c r="G28" s="4">
        <v>84</v>
      </c>
      <c r="H28" s="4">
        <v>96</v>
      </c>
      <c r="I28" s="4">
        <v>108</v>
      </c>
      <c r="J28" s="4">
        <v>120</v>
      </c>
      <c r="K28" s="4">
        <v>132</v>
      </c>
      <c r="L28" s="4">
        <v>144</v>
      </c>
      <c r="M28" s="4">
        <v>156</v>
      </c>
      <c r="N28" s="4" t="s">
        <v>47</v>
      </c>
      <c r="O28" s="4"/>
      <c r="P28" s="4"/>
      <c r="Q28" s="4"/>
      <c r="R28" s="3" t="s">
        <v>54</v>
      </c>
      <c r="S28" s="4">
        <v>24</v>
      </c>
      <c r="T28" s="4">
        <v>36</v>
      </c>
      <c r="U28" s="4">
        <v>48</v>
      </c>
      <c r="V28" s="4">
        <v>60</v>
      </c>
      <c r="W28" s="4">
        <v>72</v>
      </c>
      <c r="X28" s="4">
        <v>84</v>
      </c>
      <c r="Y28" s="4">
        <v>96</v>
      </c>
      <c r="Z28" s="4">
        <v>108</v>
      </c>
      <c r="AA28" s="4">
        <v>120</v>
      </c>
      <c r="AB28" s="4">
        <v>132</v>
      </c>
      <c r="AC28" s="4">
        <v>144</v>
      </c>
      <c r="AD28" s="4">
        <v>156</v>
      </c>
      <c r="AE28" s="4" t="s">
        <v>47</v>
      </c>
      <c r="AJ28" s="3" t="s">
        <v>54</v>
      </c>
      <c r="AK28" s="2">
        <v>12</v>
      </c>
      <c r="AL28" s="2">
        <v>24</v>
      </c>
      <c r="AM28" s="2">
        <v>36</v>
      </c>
      <c r="AN28" s="2">
        <v>48</v>
      </c>
      <c r="AO28" s="2">
        <v>60</v>
      </c>
      <c r="AP28" s="2">
        <v>72</v>
      </c>
      <c r="AQ28" s="2">
        <v>84</v>
      </c>
      <c r="AR28" s="2">
        <v>96</v>
      </c>
      <c r="AS28" s="2">
        <v>108</v>
      </c>
      <c r="AT28" s="2">
        <v>120</v>
      </c>
      <c r="AU28" s="2">
        <v>132</v>
      </c>
      <c r="AV28" s="2">
        <v>144</v>
      </c>
      <c r="AW28" s="2">
        <v>156</v>
      </c>
      <c r="AY28">
        <f>AY27+12</f>
        <v>420</v>
      </c>
      <c r="AZ28">
        <f t="shared" si="0"/>
        <v>1</v>
      </c>
      <c r="BA28">
        <f t="shared" si="1"/>
        <v>0.98640000000000005</v>
      </c>
    </row>
    <row r="29" spans="1:53">
      <c r="A29" s="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3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J29" s="3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Y29">
        <f>AY28+12</f>
        <v>432</v>
      </c>
      <c r="AZ29">
        <f t="shared" si="0"/>
        <v>1</v>
      </c>
      <c r="BA29">
        <f t="shared" si="1"/>
        <v>0.98640000000000005</v>
      </c>
    </row>
    <row r="30" spans="1:53">
      <c r="A30" s="2">
        <f t="shared" ref="A30:A40" si="24">A8</f>
        <v>2003</v>
      </c>
      <c r="B30" s="8"/>
      <c r="C30" s="8"/>
      <c r="D30" s="8"/>
      <c r="E30" s="8"/>
      <c r="F30" s="8"/>
      <c r="G30" s="8"/>
      <c r="H30" s="8"/>
      <c r="I30" s="8">
        <f t="shared" ref="I30:L34" si="25">IFERROR(J8/I8,1)</f>
        <v>1.0195489148154975</v>
      </c>
      <c r="J30" s="8">
        <f t="shared" si="25"/>
        <v>1.0095939933259177</v>
      </c>
      <c r="K30" s="8">
        <f t="shared" si="25"/>
        <v>0.98104944222558876</v>
      </c>
      <c r="L30" s="8">
        <f t="shared" si="25"/>
        <v>1.0191762360670467</v>
      </c>
      <c r="M30" s="8">
        <f>IFERROR(N8/M8,1)</f>
        <v>0.99009641873278242</v>
      </c>
      <c r="N30" s="8">
        <v>1</v>
      </c>
      <c r="O30" s="8"/>
      <c r="P30" s="8"/>
      <c r="Q30" s="8"/>
      <c r="R30" s="2">
        <f t="shared" ref="R30:R40" si="26">R8</f>
        <v>2003</v>
      </c>
      <c r="S30" s="8"/>
      <c r="T30" s="8"/>
      <c r="U30" s="8"/>
      <c r="V30" s="8"/>
      <c r="W30" s="8"/>
      <c r="X30" s="8"/>
      <c r="Y30" s="8"/>
      <c r="Z30" s="8">
        <f t="shared" ref="Z30:AC30" si="27">IFERROR(AA8/Z8,1)</f>
        <v>1.0254763825742708</v>
      </c>
      <c r="AA30" s="8">
        <f t="shared" si="27"/>
        <v>1.0229285954814775</v>
      </c>
      <c r="AB30" s="8">
        <f t="shared" si="27"/>
        <v>1</v>
      </c>
      <c r="AC30" s="8">
        <f>IFERROR(AD8/AC8,1)</f>
        <v>1.0214604571587957</v>
      </c>
      <c r="AD30" s="8">
        <f>IFERROR(AE8/AD8,1)</f>
        <v>1.0069986859403144</v>
      </c>
      <c r="AE30">
        <v>1.0000065</v>
      </c>
      <c r="AJ30" s="2">
        <v>2003</v>
      </c>
      <c r="AK30" s="8"/>
      <c r="AL30" s="13"/>
      <c r="AM30" s="13"/>
      <c r="AN30" s="13"/>
      <c r="AO30" s="13"/>
      <c r="AP30" s="13"/>
      <c r="AQ30" s="13"/>
      <c r="AR30" s="13">
        <v>66618.247451343836</v>
      </c>
      <c r="AS30" s="13">
        <v>68315.439409841711</v>
      </c>
      <c r="AT30" s="13">
        <v>69881.816485209361</v>
      </c>
      <c r="AU30" s="13">
        <v>69881.816485209361</v>
      </c>
      <c r="AV30" s="13">
        <v>71381.512214069022</v>
      </c>
      <c r="AW30" s="13">
        <v>71881.089000000007</v>
      </c>
      <c r="AY30">
        <f>AY29+12</f>
        <v>444</v>
      </c>
      <c r="AZ30">
        <f t="shared" si="0"/>
        <v>1</v>
      </c>
      <c r="BA30">
        <f t="shared" si="1"/>
        <v>0.98640000000000005</v>
      </c>
    </row>
    <row r="31" spans="1:53">
      <c r="A31" s="2">
        <f t="shared" si="24"/>
        <v>2004</v>
      </c>
      <c r="B31" s="8"/>
      <c r="C31" s="8"/>
      <c r="D31" s="8"/>
      <c r="E31" s="8"/>
      <c r="F31" s="8"/>
      <c r="G31" s="8"/>
      <c r="H31" s="8">
        <f t="shared" ref="H31:H35" si="28">IFERROR(I9/H9,1)</f>
        <v>0.99300093801861611</v>
      </c>
      <c r="I31" s="8">
        <f t="shared" si="25"/>
        <v>1.0471879087341955</v>
      </c>
      <c r="J31" s="8">
        <f t="shared" si="25"/>
        <v>1.0096451420403292</v>
      </c>
      <c r="K31" s="8">
        <f t="shared" si="25"/>
        <v>1.0252089289641522</v>
      </c>
      <c r="L31" s="8">
        <f t="shared" si="25"/>
        <v>0.99174107741399187</v>
      </c>
      <c r="M31" s="8"/>
      <c r="N31" s="8"/>
      <c r="O31" s="8"/>
      <c r="P31" s="8"/>
      <c r="Q31" s="8"/>
      <c r="R31" s="2">
        <f t="shared" si="26"/>
        <v>2004</v>
      </c>
      <c r="S31" s="8"/>
      <c r="T31" s="8"/>
      <c r="U31" s="8"/>
      <c r="V31" s="8"/>
      <c r="W31" s="8"/>
      <c r="X31" s="8"/>
      <c r="Y31" s="8">
        <f t="shared" ref="Y31:AC35" si="29">IFERROR(Z9/Y9,1)</f>
        <v>1.0149999999999999</v>
      </c>
      <c r="Z31" s="8">
        <f t="shared" si="29"/>
        <v>1.0373626800823705</v>
      </c>
      <c r="AA31" s="8">
        <f t="shared" si="29"/>
        <v>1.0142945623481456</v>
      </c>
      <c r="AB31" s="19">
        <f>IFERROR(AC9/AB9,1)</f>
        <v>1.0353968223083039</v>
      </c>
      <c r="AC31" s="8">
        <f t="shared" si="29"/>
        <v>1.0193841443178828</v>
      </c>
      <c r="AD31" s="8"/>
      <c r="AE31" s="8"/>
      <c r="AJ31" s="2">
        <v>2004</v>
      </c>
      <c r="AK31" s="13"/>
      <c r="AL31" s="13"/>
      <c r="AM31" s="13"/>
      <c r="AN31" s="13"/>
      <c r="AO31" s="13"/>
      <c r="AP31" s="13"/>
      <c r="AQ31" s="13">
        <v>64521.019537534761</v>
      </c>
      <c r="AR31" s="13">
        <v>65488.834830597778</v>
      </c>
      <c r="AS31" s="13">
        <v>67935.673215340605</v>
      </c>
      <c r="AT31" s="13">
        <v>68906.783931780534</v>
      </c>
      <c r="AU31" s="13">
        <v>71345.865118450456</v>
      </c>
      <c r="AV31" s="13">
        <v>72728.843664390704</v>
      </c>
      <c r="AW31" s="13"/>
      <c r="AY31">
        <f>AY30+12</f>
        <v>456</v>
      </c>
      <c r="AZ31">
        <f t="shared" si="0"/>
        <v>1</v>
      </c>
      <c r="BA31">
        <f t="shared" si="1"/>
        <v>0.98640000000000005</v>
      </c>
    </row>
    <row r="32" spans="1:53">
      <c r="A32" s="2">
        <f t="shared" si="24"/>
        <v>2005</v>
      </c>
      <c r="B32" s="8"/>
      <c r="C32" s="8"/>
      <c r="D32" s="8"/>
      <c r="E32" s="8"/>
      <c r="F32" s="8"/>
      <c r="G32" s="8">
        <f>IFERROR(H10/G10,1)</f>
        <v>0.99200877467878412</v>
      </c>
      <c r="H32" s="8">
        <f t="shared" si="28"/>
        <v>0.99798968998147641</v>
      </c>
      <c r="I32" s="8">
        <f t="shared" si="25"/>
        <v>0.99346771988892246</v>
      </c>
      <c r="J32" s="8">
        <f t="shared" si="25"/>
        <v>1.0203050096311208</v>
      </c>
      <c r="K32" s="8">
        <f t="shared" si="25"/>
        <v>0.99410921375746997</v>
      </c>
      <c r="L32" s="8"/>
      <c r="M32" s="8"/>
      <c r="N32" s="8"/>
      <c r="O32" s="8"/>
      <c r="P32" s="8"/>
      <c r="Q32" s="8"/>
      <c r="R32" s="2">
        <f t="shared" si="26"/>
        <v>2005</v>
      </c>
      <c r="S32" s="8"/>
      <c r="T32" s="8"/>
      <c r="U32" s="8"/>
      <c r="V32" s="8"/>
      <c r="W32" s="8"/>
      <c r="X32" s="8">
        <f>IFERROR(Y10/X10,1)</f>
        <v>1.03</v>
      </c>
      <c r="Y32" s="8">
        <f t="shared" si="29"/>
        <v>1.022</v>
      </c>
      <c r="Z32" s="8">
        <f t="shared" si="29"/>
        <v>1.0034874609314008</v>
      </c>
      <c r="AA32" s="8">
        <f t="shared" si="29"/>
        <v>1.026335451930815</v>
      </c>
      <c r="AB32" s="8">
        <f t="shared" si="29"/>
        <v>1.0115206402835202</v>
      </c>
      <c r="AC32" s="8"/>
      <c r="AE32" s="8"/>
      <c r="AJ32" s="2">
        <v>2005</v>
      </c>
      <c r="AK32" s="13"/>
      <c r="AL32" s="13"/>
      <c r="AM32" s="13"/>
      <c r="AN32" s="13"/>
      <c r="AO32" s="13"/>
      <c r="AP32" s="13">
        <v>61869.596218456099</v>
      </c>
      <c r="AQ32" s="13">
        <v>63725.684105009786</v>
      </c>
      <c r="AR32" s="13">
        <v>65127.649155320003</v>
      </c>
      <c r="AS32" s="13">
        <v>65354.779287303165</v>
      </c>
      <c r="AT32" s="13">
        <v>67075.926935672964</v>
      </c>
      <c r="AU32" s="13">
        <v>67848.68456158253</v>
      </c>
      <c r="AV32" s="13"/>
      <c r="AW32" s="13"/>
      <c r="AY32">
        <f>AY31+12</f>
        <v>468</v>
      </c>
      <c r="AZ32">
        <f t="shared" si="0"/>
        <v>1</v>
      </c>
      <c r="BA32">
        <f t="shared" si="1"/>
        <v>0.98640000000000005</v>
      </c>
    </row>
    <row r="33" spans="1:53">
      <c r="A33" s="2">
        <f t="shared" si="24"/>
        <v>2006</v>
      </c>
      <c r="B33" s="8"/>
      <c r="C33" s="8"/>
      <c r="D33" s="8"/>
      <c r="E33" s="8"/>
      <c r="F33" s="8">
        <f>IFERROR(G11/F11,1)</f>
        <v>0.99100040643325782</v>
      </c>
      <c r="G33" s="8">
        <f>IFERROR(H11/G11,1)</f>
        <v>0.98699320365596432</v>
      </c>
      <c r="H33" s="8">
        <f t="shared" si="28"/>
        <v>1.0030125845898137</v>
      </c>
      <c r="I33" s="8">
        <f t="shared" si="25"/>
        <v>1.0064509447083019</v>
      </c>
      <c r="J33" s="8">
        <f t="shared" si="25"/>
        <v>0.98995927847933785</v>
      </c>
      <c r="K33" s="8"/>
      <c r="L33" s="8"/>
      <c r="M33" s="8"/>
      <c r="N33" s="8"/>
      <c r="O33" s="8"/>
      <c r="P33" s="8"/>
      <c r="Q33" s="8"/>
      <c r="R33" s="2">
        <f t="shared" si="26"/>
        <v>2006</v>
      </c>
      <c r="S33" s="8"/>
      <c r="T33" s="8"/>
      <c r="U33" s="8"/>
      <c r="V33" s="8"/>
      <c r="W33" s="8">
        <f>IFERROR(X11/W11,1)</f>
        <v>1.06</v>
      </c>
      <c r="X33" s="8">
        <f>IFERROR(Y11/X11,1)</f>
        <v>1.032</v>
      </c>
      <c r="Y33" s="8">
        <f t="shared" si="29"/>
        <v>1.0249999999999999</v>
      </c>
      <c r="Z33" s="8">
        <f t="shared" si="29"/>
        <v>1.0235685063169697</v>
      </c>
      <c r="AA33" s="8">
        <f t="shared" si="29"/>
        <v>1.0109162963624072</v>
      </c>
      <c r="AB33" s="8"/>
      <c r="AC33" s="8"/>
      <c r="AD33" s="8"/>
      <c r="AE33" s="8"/>
      <c r="AJ33" s="2">
        <v>2006</v>
      </c>
      <c r="AK33" s="13"/>
      <c r="AL33" s="13"/>
      <c r="AM33" s="13"/>
      <c r="AN33" s="13"/>
      <c r="AO33" s="13">
        <v>55420.943612674811</v>
      </c>
      <c r="AP33" s="13">
        <v>58746.200229435301</v>
      </c>
      <c r="AQ33" s="13">
        <v>60626.078636777231</v>
      </c>
      <c r="AR33" s="13">
        <v>62141.730602696654</v>
      </c>
      <c r="AS33" s="13">
        <v>63606.318372953741</v>
      </c>
      <c r="AT33" s="13">
        <v>64300.663794834531</v>
      </c>
      <c r="AU33" s="13"/>
      <c r="AV33" s="13"/>
      <c r="AW33" s="13"/>
      <c r="AY33">
        <f>AY32+12</f>
        <v>480</v>
      </c>
      <c r="AZ33">
        <f t="shared" si="0"/>
        <v>1</v>
      </c>
      <c r="BA33">
        <f t="shared" si="1"/>
        <v>0.98640000000000005</v>
      </c>
    </row>
    <row r="34" spans="1:53">
      <c r="A34" s="2">
        <f t="shared" si="24"/>
        <v>2007</v>
      </c>
      <c r="B34" s="8"/>
      <c r="C34" s="8"/>
      <c r="D34" s="8"/>
      <c r="E34" s="8">
        <f>IFERROR(F12/E12,1)</f>
        <v>1.0010072087368163</v>
      </c>
      <c r="F34" s="8">
        <f>IFERROR(G12/F12,1)</f>
        <v>0.9949977719961477</v>
      </c>
      <c r="G34" s="8">
        <f>IFERROR(H12/G12,1)</f>
        <v>1.0030048684647723</v>
      </c>
      <c r="H34" s="8">
        <f t="shared" si="28"/>
        <v>0.99000417692894904</v>
      </c>
      <c r="I34" s="8">
        <f t="shared" si="25"/>
        <v>0.99447152105914016</v>
      </c>
      <c r="J34" s="8"/>
      <c r="K34" s="8"/>
      <c r="L34" s="8"/>
      <c r="M34" s="8"/>
      <c r="N34" s="8"/>
      <c r="O34" s="8"/>
      <c r="P34" s="8"/>
      <c r="Q34" s="8"/>
      <c r="R34" s="2">
        <f t="shared" si="26"/>
        <v>2007</v>
      </c>
      <c r="S34" s="8"/>
      <c r="T34" s="8"/>
      <c r="U34" s="8"/>
      <c r="V34" s="8">
        <f>IFERROR(W12/V12,1)</f>
        <v>1.115</v>
      </c>
      <c r="W34" s="8">
        <f>IFERROR(X12/W12,1)</f>
        <v>1.0660000000000001</v>
      </c>
      <c r="X34" s="8">
        <f>IFERROR(Y12/X12,1)</f>
        <v>1.04</v>
      </c>
      <c r="Y34" s="8">
        <f t="shared" si="29"/>
        <v>1.0169999999999999</v>
      </c>
      <c r="Z34" s="8">
        <f t="shared" si="29"/>
        <v>1.0117219514927542</v>
      </c>
      <c r="AA34" s="8"/>
      <c r="AB34" s="8"/>
      <c r="AC34" s="8"/>
      <c r="AD34" s="8"/>
      <c r="AE34" s="8"/>
      <c r="AJ34" s="2">
        <v>2007</v>
      </c>
      <c r="AK34" s="13"/>
      <c r="AL34" s="13"/>
      <c r="AM34" s="13"/>
      <c r="AN34" s="13">
        <v>50694.622756417011</v>
      </c>
      <c r="AO34" s="13">
        <v>56524.504373404969</v>
      </c>
      <c r="AP34" s="13">
        <v>60255.1216620497</v>
      </c>
      <c r="AQ34" s="13">
        <v>62665.326528531688</v>
      </c>
      <c r="AR34" s="13">
        <v>63730.637079516724</v>
      </c>
      <c r="AS34" s="13">
        <v>64477.684515965142</v>
      </c>
      <c r="AT34" s="13"/>
      <c r="AU34" s="13"/>
      <c r="AV34" s="13"/>
      <c r="AW34" s="13"/>
    </row>
    <row r="35" spans="1:53">
      <c r="A35" s="2">
        <f t="shared" si="24"/>
        <v>2008</v>
      </c>
      <c r="B35" s="8"/>
      <c r="C35" s="8"/>
      <c r="D35" s="8">
        <f>IFERROR(E13/D13,1)</f>
        <v>1.0349964598956753</v>
      </c>
      <c r="E35" s="8">
        <f>IFERROR(F13/E13,1)</f>
        <v>1.003992796213824</v>
      </c>
      <c r="F35" s="8">
        <f>IFERROR(G13/F13,1)</f>
        <v>0.99300563164847389</v>
      </c>
      <c r="G35" s="8">
        <f>IFERROR(H13/G13,1)</f>
        <v>0.99799753542821934</v>
      </c>
      <c r="H35" s="8">
        <f t="shared" si="28"/>
        <v>0.98999565028273162</v>
      </c>
      <c r="I35" s="8"/>
      <c r="J35" s="8"/>
      <c r="K35" s="8"/>
      <c r="L35" s="8"/>
      <c r="M35" s="8"/>
      <c r="N35" s="8"/>
      <c r="O35" s="8"/>
      <c r="P35" s="8"/>
      <c r="R35" s="2">
        <f t="shared" si="26"/>
        <v>2008</v>
      </c>
      <c r="S35" s="8"/>
      <c r="T35" s="8"/>
      <c r="U35" s="8">
        <f>IFERROR(V13/U13,1)</f>
        <v>1.212</v>
      </c>
      <c r="V35" s="8">
        <f>IFERROR(W13/V13,1)</f>
        <v>1.137</v>
      </c>
      <c r="W35" s="8">
        <f>IFERROR(X13/W13,1)</f>
        <v>1.0569999999999999</v>
      </c>
      <c r="X35" s="8">
        <f>IFERROR(Y13/X13,1)</f>
        <v>1.03</v>
      </c>
      <c r="Y35" s="8">
        <f t="shared" si="29"/>
        <v>1.0149999999999999</v>
      </c>
      <c r="Z35" s="8"/>
      <c r="AA35" s="8"/>
      <c r="AB35" s="8"/>
      <c r="AC35" s="8"/>
      <c r="AD35" s="8"/>
      <c r="AE35" s="8"/>
      <c r="AJ35" s="2">
        <v>2008</v>
      </c>
      <c r="AK35" s="13"/>
      <c r="AL35" s="13"/>
      <c r="AM35" s="13">
        <v>43162.458454962092</v>
      </c>
      <c r="AN35" s="13">
        <v>52312.899647414059</v>
      </c>
      <c r="AO35" s="13">
        <v>59479.766899109789</v>
      </c>
      <c r="AP35" s="13">
        <v>62870.11361235904</v>
      </c>
      <c r="AQ35" s="13">
        <v>64756.217020729811</v>
      </c>
      <c r="AR35" s="13">
        <v>65727.560276040749</v>
      </c>
      <c r="AS35" s="13"/>
      <c r="AT35" s="13"/>
      <c r="AU35" s="13"/>
      <c r="AV35" s="13"/>
      <c r="AW35" s="13"/>
      <c r="AZ35">
        <f>PRODUCT(AZ6:AZ33)</f>
        <v>1.0000065272615042</v>
      </c>
    </row>
    <row r="36" spans="1:53">
      <c r="A36" s="2">
        <f t="shared" si="24"/>
        <v>2009</v>
      </c>
      <c r="B36" s="8"/>
      <c r="C36" s="8">
        <f>IFERROR(D14/C14,1)</f>
        <v>1.0989968755138957</v>
      </c>
      <c r="D36" s="8">
        <f>IFERROR(E14/D14,1)</f>
        <v>1.0330009658155701</v>
      </c>
      <c r="E36" s="8">
        <f>IFERROR(F14/E14,1)</f>
        <v>0.99599678689474447</v>
      </c>
      <c r="F36" s="8">
        <f>IFERROR(G14/F14,1)</f>
        <v>0.99500231374363723</v>
      </c>
      <c r="G36" s="8">
        <f>IFERROR(H14/G14,1)</f>
        <v>0.99600037205841319</v>
      </c>
      <c r="H36" s="8"/>
      <c r="I36" s="8"/>
      <c r="J36" s="8"/>
      <c r="K36" s="8"/>
      <c r="L36" s="8"/>
      <c r="M36" s="8"/>
      <c r="N36" s="8"/>
      <c r="O36" s="8"/>
      <c r="P36" s="8"/>
      <c r="R36" s="2">
        <f t="shared" si="26"/>
        <v>2009</v>
      </c>
      <c r="S36" s="8"/>
      <c r="T36" s="8">
        <f>IFERROR(U14/T14,1)</f>
        <v>1.508</v>
      </c>
      <c r="U36" s="8">
        <f>IFERROR(V14/U14,1)</f>
        <v>1.236</v>
      </c>
      <c r="V36" s="8">
        <f>IFERROR(W14/V14,1)</f>
        <v>1.1180000000000001</v>
      </c>
      <c r="W36" s="8">
        <f>IFERROR(X14/W14,1)</f>
        <v>1.0609999999999999</v>
      </c>
      <c r="X36" s="8">
        <f>IFERROR(Y14/X14,1)</f>
        <v>1.0269999999999999</v>
      </c>
      <c r="Y36" s="8"/>
      <c r="Z36" s="8"/>
      <c r="AA36" s="8"/>
      <c r="AB36" s="8"/>
      <c r="AC36" s="8"/>
      <c r="AD36" s="8"/>
      <c r="AE36" s="8"/>
      <c r="AJ36" s="2">
        <v>2009</v>
      </c>
      <c r="AK36" s="13"/>
      <c r="AL36" s="13">
        <v>29996.407143793916</v>
      </c>
      <c r="AM36" s="13">
        <v>45234.581972841224</v>
      </c>
      <c r="AN36" s="13">
        <v>55909.943318431753</v>
      </c>
      <c r="AO36" s="13">
        <v>62507.31663000671</v>
      </c>
      <c r="AP36" s="13">
        <v>66320.262944437112</v>
      </c>
      <c r="AQ36" s="13">
        <v>68110.910043936907</v>
      </c>
      <c r="AR36" s="13"/>
      <c r="AS36" s="13"/>
      <c r="AT36" s="13"/>
      <c r="AU36" s="13"/>
      <c r="AV36" s="13"/>
    </row>
    <row r="37" spans="1:53">
      <c r="A37" s="2">
        <f t="shared" si="24"/>
        <v>2010</v>
      </c>
      <c r="B37" s="8">
        <f>IFERROR(C15/B15,1)</f>
        <v>1.3190005316321105</v>
      </c>
      <c r="C37" s="8">
        <f>IFERROR(D15/C15,1)</f>
        <v>1.1100022571179828</v>
      </c>
      <c r="D37" s="8">
        <f>IFERROR(E15/D15,1)</f>
        <v>1.0350041394936746</v>
      </c>
      <c r="E37" s="8">
        <f>IFERROR(F15/E15,1)</f>
        <v>0.99600050519934324</v>
      </c>
      <c r="F37" s="8">
        <f>IFERROR(G15/F15,1)</f>
        <v>1.0020007326626652</v>
      </c>
      <c r="G37" s="8"/>
      <c r="H37" s="8"/>
      <c r="I37" s="8"/>
      <c r="J37" s="8"/>
      <c r="K37" s="8"/>
      <c r="L37" s="8"/>
      <c r="M37" s="8"/>
      <c r="N37" s="8"/>
      <c r="O37" s="8"/>
      <c r="P37" s="8"/>
      <c r="R37" s="2">
        <f t="shared" si="26"/>
        <v>2010</v>
      </c>
      <c r="S37" s="8">
        <f>IFERROR(T15/S15,1)</f>
        <v>2.657</v>
      </c>
      <c r="T37" s="8">
        <f>IFERROR(U15/T15,1)</f>
        <v>1.55</v>
      </c>
      <c r="U37" s="8">
        <f>IFERROR(V15/U15,1)</f>
        <v>1.23</v>
      </c>
      <c r="V37" s="8">
        <f>IFERROR(W15/V15,1)</f>
        <v>1.117</v>
      </c>
      <c r="W37" s="8">
        <f>IFERROR(X15/W15,1)</f>
        <v>1.06</v>
      </c>
      <c r="X37" s="8"/>
      <c r="Y37" s="8"/>
      <c r="Z37" s="8"/>
      <c r="AA37" s="8"/>
      <c r="AB37" s="8"/>
      <c r="AC37" s="8"/>
      <c r="AD37" s="8"/>
      <c r="AE37" s="8"/>
      <c r="AJ37" s="2">
        <v>2010</v>
      </c>
      <c r="AK37" s="13">
        <v>10418.129242136674</v>
      </c>
      <c r="AL37" s="13">
        <v>27680.969396357144</v>
      </c>
      <c r="AM37" s="13">
        <v>42905.502564353577</v>
      </c>
      <c r="AN37" s="13">
        <v>52773.768154154895</v>
      </c>
      <c r="AO37" s="13">
        <v>58948.299028191017</v>
      </c>
      <c r="AP37" s="13">
        <v>62485.196969882483</v>
      </c>
    </row>
    <row r="38" spans="1:53">
      <c r="A38" s="2">
        <f t="shared" si="24"/>
        <v>2011</v>
      </c>
      <c r="B38" s="8">
        <f>IFERROR(C16/B16,1)</f>
        <v>1.3679912785105064</v>
      </c>
      <c r="C38" s="8">
        <f>IFERROR(D16/C16,1)</f>
        <v>1.1129914369648104</v>
      </c>
      <c r="D38" s="8">
        <f>IFERROR(E16/D16,1)</f>
        <v>1.0280090415151557</v>
      </c>
      <c r="E38" s="8">
        <f>IFERROR(F16/E16,1)</f>
        <v>1.0090000273141952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2">
        <f t="shared" si="26"/>
        <v>2011</v>
      </c>
      <c r="S38" s="8">
        <f>IFERROR(T16/S16,1)</f>
        <v>2.7349999999999999</v>
      </c>
      <c r="T38" s="8">
        <f>IFERROR(U16/T16,1)</f>
        <v>1.546</v>
      </c>
      <c r="U38" s="8">
        <f>IFERROR(V16/U16,1)</f>
        <v>1.236</v>
      </c>
      <c r="V38" s="8">
        <f>IFERROR(W16/V16,1)</f>
        <v>1.115</v>
      </c>
      <c r="W38" s="8"/>
      <c r="X38" s="8"/>
      <c r="Y38" s="8"/>
      <c r="Z38" s="8"/>
      <c r="AA38" s="8"/>
      <c r="AB38" s="8"/>
      <c r="AC38" s="8"/>
      <c r="AD38" s="8"/>
      <c r="AE38" s="8"/>
      <c r="AJ38" s="2">
        <v>2011</v>
      </c>
      <c r="AK38" s="13">
        <v>10469.767690959055</v>
      </c>
      <c r="AL38" s="13">
        <v>28634.814634773014</v>
      </c>
      <c r="AM38" s="13">
        <v>44269.423425359084</v>
      </c>
      <c r="AN38" s="13">
        <v>54717.007353743829</v>
      </c>
      <c r="AO38" s="13">
        <v>61009.463199424368</v>
      </c>
      <c r="AW38" s="8"/>
    </row>
    <row r="39" spans="1:53">
      <c r="A39" s="2">
        <f t="shared" si="24"/>
        <v>2012</v>
      </c>
      <c r="B39" s="8">
        <f>C4/B17</f>
        <v>1.3903607179841215</v>
      </c>
      <c r="C39" s="8">
        <f>IFERROR(D4/C4, 1)</f>
        <v>1.1228935853272508</v>
      </c>
      <c r="D39" s="8">
        <f>IFERROR(E4/D4,1)</f>
        <v>1.009355222065611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2">
        <f t="shared" si="26"/>
        <v>2012</v>
      </c>
      <c r="S39" s="19">
        <f>IFERROR(T17/S17,1)</f>
        <v>2.8609914438771891</v>
      </c>
      <c r="T39" s="19">
        <f>IFERROR(U17/T17,1)</f>
        <v>1.5620205733677401</v>
      </c>
      <c r="U39" s="19">
        <f>IFERROR(V17/U17,1)</f>
        <v>1.2229790893455237</v>
      </c>
      <c r="V39" s="8"/>
      <c r="W39" s="8"/>
      <c r="X39" s="8"/>
      <c r="Y39" s="8"/>
      <c r="Z39" s="8"/>
      <c r="AA39" s="8"/>
      <c r="AB39" s="8"/>
      <c r="AC39" s="8"/>
      <c r="AD39" s="8"/>
      <c r="AE39" s="8"/>
      <c r="AJ39" s="2">
        <v>2012</v>
      </c>
      <c r="AK39" s="13">
        <v>9887.8310386217054</v>
      </c>
      <c r="AL39" s="13">
        <v>32289.084601496699</v>
      </c>
      <c r="AM39" s="13">
        <v>50187.550147537848</v>
      </c>
      <c r="AN39" s="13">
        <v>62041.373830438788</v>
      </c>
      <c r="AW39" s="8"/>
    </row>
    <row r="40" spans="1:53">
      <c r="A40" s="2">
        <f t="shared" si="24"/>
        <v>2013</v>
      </c>
      <c r="B40" s="8">
        <f>IFERROR(C18/B18,1)</f>
        <v>1.3449984733541585</v>
      </c>
      <c r="C40" s="8">
        <f>IFERROR(D18/C18,1)</f>
        <v>1.1489889288583104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2">
        <f t="shared" si="26"/>
        <v>2013</v>
      </c>
      <c r="S40" s="8">
        <f>IFERROR(T18/S18,1)</f>
        <v>2.8849999999999998</v>
      </c>
      <c r="T40" s="8">
        <f>IFERROR(U18/T18,1)</f>
        <v>1.534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J40" s="2">
        <v>2013</v>
      </c>
      <c r="AK40" s="13">
        <v>9300.4543205948703</v>
      </c>
      <c r="AL40" s="13">
        <v>26831.810714916199</v>
      </c>
      <c r="AM40" s="13">
        <v>41159.997636681452</v>
      </c>
      <c r="AW40" s="8"/>
    </row>
    <row r="41" spans="1:53">
      <c r="A41" s="2">
        <f>A19</f>
        <v>2014</v>
      </c>
      <c r="B41" s="8">
        <f>IFERROR(C19/B19,1)</f>
        <v>1.5069946314268017</v>
      </c>
      <c r="C41" s="8"/>
      <c r="D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2">
        <f>R19</f>
        <v>2014</v>
      </c>
      <c r="S41" s="8">
        <f>IFERROR(T19/S19,1)</f>
        <v>2.8690000000000007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J41" s="2">
        <v>2014</v>
      </c>
      <c r="AK41" s="13">
        <v>9235.0080469296245</v>
      </c>
      <c r="AL41" s="13">
        <f>AM40</f>
        <v>41159.997636681452</v>
      </c>
      <c r="AM41" s="8"/>
      <c r="AW41" s="8"/>
    </row>
    <row r="42" spans="1:53">
      <c r="B42" s="2"/>
      <c r="C42" s="2"/>
      <c r="H42" s="2"/>
      <c r="I42" s="2"/>
      <c r="J42" s="2"/>
      <c r="K42" s="2"/>
      <c r="L42" s="2"/>
      <c r="M42" s="2"/>
      <c r="N42" s="2"/>
      <c r="O42" s="2"/>
      <c r="P42" s="2"/>
      <c r="Q42" s="2"/>
      <c r="S42" s="2"/>
      <c r="T42" s="2"/>
      <c r="Y42" s="2"/>
      <c r="Z42" s="2"/>
      <c r="AA42" s="2"/>
      <c r="AB42" s="2"/>
      <c r="AC42" s="2"/>
      <c r="AD42" s="2"/>
      <c r="AE42" s="2"/>
      <c r="AJ42" s="2">
        <v>2015</v>
      </c>
      <c r="AK42" s="13">
        <v>8153</v>
      </c>
    </row>
    <row r="43" spans="1:53">
      <c r="A43" s="10" t="s">
        <v>96</v>
      </c>
      <c r="R43" s="10" t="s">
        <v>96</v>
      </c>
    </row>
    <row r="44" spans="1:53">
      <c r="A44" s="11" t="s">
        <v>97</v>
      </c>
      <c r="B44" s="8">
        <f>AVERAGE(B40:B41)</f>
        <v>1.4259965523904801</v>
      </c>
      <c r="C44" s="8">
        <f>AVERAGE(C39:C40)</f>
        <v>1.1359412570927807</v>
      </c>
      <c r="D44" s="8">
        <f>AVERAGE(D38:D39)</f>
        <v>1.0186821317903834</v>
      </c>
      <c r="E44" s="8">
        <f>AVERAGE(E37:E38)</f>
        <v>1.0025002662567692</v>
      </c>
      <c r="F44" s="8">
        <f>AVERAGE(F36:F37)</f>
        <v>0.99850152320315122</v>
      </c>
      <c r="G44" s="8">
        <f>AVERAGE(G35:G36)</f>
        <v>0.99699895374331626</v>
      </c>
      <c r="H44" s="8">
        <f>AVERAGE(H34:H35)</f>
        <v>0.98999991360584039</v>
      </c>
      <c r="I44" s="8">
        <f>AVERAGE(I33:I34)</f>
        <v>1.000461232883721</v>
      </c>
      <c r="J44" s="8">
        <f>AVERAGE(J32:J33)</f>
        <v>1.0051321440552292</v>
      </c>
      <c r="K44" s="8">
        <f>AVERAGE(K31:K32)</f>
        <v>1.0096590713608111</v>
      </c>
      <c r="L44" s="8">
        <f>AVERAGE(L30:L31)</f>
        <v>1.0054586567405193</v>
      </c>
      <c r="M44" s="64">
        <f>M$48</f>
        <v>0.99009641873278242</v>
      </c>
      <c r="N44" s="8"/>
      <c r="O44" s="8"/>
      <c r="P44" s="8"/>
      <c r="Q44" s="8"/>
      <c r="R44" s="11" t="s">
        <v>97</v>
      </c>
      <c r="S44" s="8">
        <f>AVERAGE(S40:S41)</f>
        <v>2.8770000000000002</v>
      </c>
      <c r="T44" s="8">
        <f>AVERAGE(T39:T40)</f>
        <v>1.5480102866838701</v>
      </c>
      <c r="U44" s="8">
        <f>AVERAGE(U38:U39)</f>
        <v>1.2294895446727618</v>
      </c>
      <c r="V44" s="8">
        <f>AVERAGE(V37:V38)</f>
        <v>1.1160000000000001</v>
      </c>
      <c r="W44" s="8">
        <f>AVERAGE(W36:W37)</f>
        <v>1.0605</v>
      </c>
      <c r="X44" s="8">
        <f>AVERAGE(X35:X36)</f>
        <v>1.0285</v>
      </c>
      <c r="Y44" s="8">
        <f>AVERAGE(Y34:Y35)</f>
        <v>1.016</v>
      </c>
      <c r="Z44" s="8">
        <f>AVERAGE(Z34:Z35)</f>
        <v>1.0117219514927542</v>
      </c>
      <c r="AA44" s="8">
        <f>AVERAGE(AA32:AA33)</f>
        <v>1.0186258741466112</v>
      </c>
      <c r="AB44" s="8">
        <f>AVERAGE(AB31:AB32)</f>
        <v>1.023458731295912</v>
      </c>
      <c r="AC44" s="8">
        <f>AVERAGE(AC30:AC31)</f>
        <v>1.0204223007383393</v>
      </c>
      <c r="AD44" s="64">
        <f>AD$48</f>
        <v>1.0069986859403144</v>
      </c>
      <c r="AE44" s="8"/>
    </row>
    <row r="45" spans="1:53">
      <c r="A45" s="11" t="s">
        <v>98</v>
      </c>
      <c r="B45" s="8">
        <f>AVERAGE(B39:B41)</f>
        <v>1.4141179409216942</v>
      </c>
      <c r="C45" s="8">
        <f>AVERAGE(C38:C40)</f>
        <v>1.1282913170501239</v>
      </c>
      <c r="D45" s="8">
        <f>AVERAGE(D37:D39)</f>
        <v>1.0241228010248138</v>
      </c>
      <c r="E45" s="8">
        <f>AVERAGE(E36:E38)</f>
        <v>1.0003324398027609</v>
      </c>
      <c r="F45" s="8">
        <f>AVERAGE(F35:F37)</f>
        <v>0.99666955935159207</v>
      </c>
      <c r="G45" s="8">
        <f>AVERAGE(G34:G36)</f>
        <v>0.99900092531713491</v>
      </c>
      <c r="H45" s="8">
        <f>AVERAGE(H33:H35)</f>
        <v>0.99433747060049804</v>
      </c>
      <c r="I45" s="8">
        <f>AVERAGE(I32:I34)</f>
        <v>0.99813006188545483</v>
      </c>
      <c r="J45" s="8">
        <f>AVERAGE(J31:J33)</f>
        <v>1.0066364767169294</v>
      </c>
      <c r="K45" s="8">
        <f>AVERAGE(K30:K32)</f>
        <v>1.0001225283157369</v>
      </c>
      <c r="L45" s="64">
        <f t="shared" ref="L45:L47" si="30">L$48</f>
        <v>1.0054586567405193</v>
      </c>
      <c r="M45" s="64">
        <f t="shared" ref="M45:M47" si="31">M$48</f>
        <v>0.99009641873278242</v>
      </c>
      <c r="N45" s="8"/>
      <c r="O45" s="8"/>
      <c r="P45" s="8"/>
      <c r="Q45" s="8"/>
      <c r="R45" s="11" t="s">
        <v>98</v>
      </c>
      <c r="S45" s="8">
        <f>AVERAGE(S39:S41)</f>
        <v>2.8716638146257303</v>
      </c>
      <c r="T45" s="8">
        <f>AVERAGE(T38:T40)</f>
        <v>1.5473401911225801</v>
      </c>
      <c r="U45" s="8">
        <f>AVERAGE(U37:U39)</f>
        <v>1.2296596964485078</v>
      </c>
      <c r="V45" s="8">
        <f>AVERAGE(V36:V38)</f>
        <v>1.1166666666666669</v>
      </c>
      <c r="W45" s="8">
        <f>AVERAGE(W35:W37)</f>
        <v>1.0593333333333332</v>
      </c>
      <c r="X45" s="8">
        <f>AVERAGE(X34:X36)</f>
        <v>1.0323333333333335</v>
      </c>
      <c r="Y45" s="8">
        <f>AVERAGE(Y33:Y35)</f>
        <v>1.0189999999999999</v>
      </c>
      <c r="Z45" s="8">
        <f>AVERAGE(Z33:Z35)</f>
        <v>1.0176452289048621</v>
      </c>
      <c r="AA45" s="8">
        <f>AVERAGE(AA31:AA33)</f>
        <v>1.0171821035471227</v>
      </c>
      <c r="AB45" s="8">
        <f>AVERAGE(AB30:AB32)</f>
        <v>1.0156391541972747</v>
      </c>
      <c r="AC45" s="64">
        <f t="shared" ref="AC45:AD47" si="32">AC$48</f>
        <v>1.0204223007383393</v>
      </c>
      <c r="AD45" s="64">
        <f t="shared" si="32"/>
        <v>1.0069986859403144</v>
      </c>
      <c r="AE45" s="8"/>
    </row>
    <row r="46" spans="1:53">
      <c r="A46" s="11" t="s">
        <v>99</v>
      </c>
      <c r="B46" s="8">
        <f>AVERAGE(B38:B41)</f>
        <v>1.4025862753188969</v>
      </c>
      <c r="C46" s="8">
        <f>AVERAGE(C37:C40)</f>
        <v>1.1237190520670886</v>
      </c>
      <c r="D46" s="8">
        <f>AVERAGE(D36:D39)</f>
        <v>1.0263423422225029</v>
      </c>
      <c r="E46" s="8">
        <f>AVERAGE(E35:E38)</f>
        <v>1.0012475289055267</v>
      </c>
      <c r="F46" s="8">
        <f>AVERAGE(F34:F37)</f>
        <v>0.99625161251273098</v>
      </c>
      <c r="G46" s="8">
        <f>AVERAGE(G33:G36)</f>
        <v>0.99599899490184218</v>
      </c>
      <c r="H46" s="8">
        <f>AVERAGE(H32:H35)</f>
        <v>0.99525052544574266</v>
      </c>
      <c r="I46" s="8">
        <f>AVERAGE(I31:I34)</f>
        <v>1.0103945235976401</v>
      </c>
      <c r="J46" s="8">
        <f>AVERAGE(J30:J33)</f>
        <v>1.0073758558691763</v>
      </c>
      <c r="K46" s="64">
        <f t="shared" ref="K46:K47" si="33">K$48</f>
        <v>1.0001225283157369</v>
      </c>
      <c r="L46" s="64">
        <f t="shared" si="30"/>
        <v>1.0054586567405193</v>
      </c>
      <c r="M46" s="64">
        <f t="shared" si="31"/>
        <v>0.99009641873278242</v>
      </c>
      <c r="N46" s="8"/>
      <c r="O46" s="8"/>
      <c r="P46" s="8"/>
      <c r="Q46" s="8"/>
      <c r="R46" s="11" t="s">
        <v>99</v>
      </c>
      <c r="S46" s="8">
        <f>AVERAGE(S38:S41)</f>
        <v>2.8374978609692976</v>
      </c>
      <c r="T46" s="8">
        <f>AVERAGE(T37:T40)</f>
        <v>1.5480051433419351</v>
      </c>
      <c r="U46" s="8">
        <f>AVERAGE(U36:U39)</f>
        <v>1.2312447723363809</v>
      </c>
      <c r="V46" s="8">
        <f>AVERAGE(V35:V38)</f>
        <v>1.12175</v>
      </c>
      <c r="W46" s="8">
        <f>AVERAGE(W34:W37)</f>
        <v>1.0609999999999999</v>
      </c>
      <c r="X46" s="8">
        <f>AVERAGE(X33:X36)</f>
        <v>1.0322500000000001</v>
      </c>
      <c r="Y46" s="8">
        <f>AVERAGE(Y32:Y35)</f>
        <v>1.0197499999999999</v>
      </c>
      <c r="Z46" s="8">
        <f>AVERAGE(Z32:Z35)</f>
        <v>1.0129259729137081</v>
      </c>
      <c r="AA46" s="8">
        <f>AVERAGE(AA30:AA33)</f>
        <v>1.0186187265307114</v>
      </c>
      <c r="AB46" s="64">
        <f t="shared" ref="AB46:AB47" si="34">AB$48</f>
        <v>1.0156391541972747</v>
      </c>
      <c r="AC46" s="64">
        <f t="shared" si="32"/>
        <v>1.0204223007383393</v>
      </c>
      <c r="AD46" s="64">
        <f t="shared" si="32"/>
        <v>1.0069986859403144</v>
      </c>
      <c r="AE46" s="8"/>
    </row>
    <row r="47" spans="1:53">
      <c r="A47" s="11" t="s">
        <v>100</v>
      </c>
      <c r="B47" s="8">
        <f>AVERAGE(B37:B41)</f>
        <v>1.3858691265815395</v>
      </c>
      <c r="C47" s="8">
        <f>AVERAGE(C36:C40)</f>
        <v>1.1187746167564501</v>
      </c>
      <c r="D47" s="8">
        <f>AVERAGE(D35:D39)</f>
        <v>1.0280731657571374</v>
      </c>
      <c r="E47" s="8">
        <f>AVERAGE(E34:E38)</f>
        <v>1.0011994648717846</v>
      </c>
      <c r="F47" s="8">
        <f>AVERAGE(F33:F37)</f>
        <v>0.99520137129683628</v>
      </c>
      <c r="G47" s="8">
        <f>AVERAGE(G32:G36)</f>
        <v>0.99520095085723059</v>
      </c>
      <c r="H47" s="8">
        <f>AVERAGE(H31:H35)</f>
        <v>0.99480060796031733</v>
      </c>
      <c r="I47" s="8">
        <f>AVERAGE(I30:I34)</f>
        <v>1.0122254018412113</v>
      </c>
      <c r="J47" s="64">
        <f>J$48</f>
        <v>1.0073758558691763</v>
      </c>
      <c r="K47" s="64">
        <f t="shared" si="33"/>
        <v>1.0001225283157369</v>
      </c>
      <c r="L47" s="64">
        <f t="shared" si="30"/>
        <v>1.0054586567405193</v>
      </c>
      <c r="M47" s="64">
        <f t="shared" si="31"/>
        <v>0.99009641873278242</v>
      </c>
      <c r="N47" s="8"/>
      <c r="O47" s="8"/>
      <c r="P47" s="8"/>
      <c r="Q47" s="8"/>
      <c r="R47" s="11" t="s">
        <v>100</v>
      </c>
      <c r="S47" s="8">
        <f>AVERAGE(S37:S41)</f>
        <v>2.8013982887754381</v>
      </c>
      <c r="T47" s="8">
        <f>AVERAGE(T36:T40)</f>
        <v>1.5400041146735481</v>
      </c>
      <c r="U47" s="8">
        <f>AVERAGE(U35:U39)</f>
        <v>1.2273958178691047</v>
      </c>
      <c r="V47" s="8">
        <f>AVERAGE(V34:V38)</f>
        <v>1.1204000000000001</v>
      </c>
      <c r="W47" s="8">
        <f>AVERAGE(W33:W37)</f>
        <v>1.0608</v>
      </c>
      <c r="X47" s="8">
        <f>AVERAGE(X32:X36)</f>
        <v>1.0318000000000001</v>
      </c>
      <c r="Y47" s="8">
        <f>AVERAGE(Y31:Y35)</f>
        <v>1.0187999999999999</v>
      </c>
      <c r="Z47" s="8">
        <f>AVERAGE(Z30:Z34)</f>
        <v>1.0203233962795533</v>
      </c>
      <c r="AA47" s="64">
        <f>AA$48</f>
        <v>1.0186187265307114</v>
      </c>
      <c r="AB47" s="64">
        <f t="shared" si="34"/>
        <v>1.0156391541972747</v>
      </c>
      <c r="AC47" s="64">
        <f t="shared" si="32"/>
        <v>1.0204223007383393</v>
      </c>
      <c r="AD47" s="64">
        <f t="shared" si="32"/>
        <v>1.0069986859403144</v>
      </c>
      <c r="AE47" s="8"/>
    </row>
    <row r="48" spans="1:53">
      <c r="A48" t="s">
        <v>101</v>
      </c>
      <c r="B48" s="8">
        <f t="shared" ref="B48:H48" si="35">AVERAGE(B30:B42)</f>
        <v>1.3858691265815395</v>
      </c>
      <c r="C48" s="8">
        <f t="shared" si="35"/>
        <v>1.1187746167564501</v>
      </c>
      <c r="D48" s="8">
        <f t="shared" si="35"/>
        <v>1.0280731657571374</v>
      </c>
      <c r="E48" s="8">
        <f>AVERAGE(E30:E41)</f>
        <v>1.0011994648717846</v>
      </c>
      <c r="F48" s="8">
        <f t="shared" si="35"/>
        <v>0.99520137129683628</v>
      </c>
      <c r="G48" s="8">
        <f t="shared" si="35"/>
        <v>0.99520095085723059</v>
      </c>
      <c r="H48" s="8">
        <f t="shared" si="35"/>
        <v>0.99480060796031733</v>
      </c>
      <c r="I48" s="8">
        <f t="shared" ref="I48:J48" si="36">AVERAGE(I30:I42)</f>
        <v>1.0122254018412113</v>
      </c>
      <c r="J48" s="8">
        <f t="shared" si="36"/>
        <v>1.0073758558691763</v>
      </c>
      <c r="K48" s="8">
        <f t="shared" ref="K48:L48" si="37">AVERAGE(K30:K42)</f>
        <v>1.0001225283157369</v>
      </c>
      <c r="L48" s="8">
        <f t="shared" si="37"/>
        <v>1.0054586567405193</v>
      </c>
      <c r="M48" s="8">
        <f t="shared" ref="M48" si="38">AVERAGE(M30:M42)</f>
        <v>0.99009641873278242</v>
      </c>
      <c r="N48" s="8"/>
      <c r="O48" s="8"/>
      <c r="P48" s="8"/>
      <c r="Q48" s="8"/>
      <c r="R48" t="s">
        <v>101</v>
      </c>
      <c r="S48" s="8">
        <f t="shared" ref="S48:Y48" si="39">AVERAGE(S30:S42)</f>
        <v>2.8013982887754381</v>
      </c>
      <c r="T48" s="8">
        <f t="shared" si="39"/>
        <v>1.5400041146735481</v>
      </c>
      <c r="U48" s="8">
        <f t="shared" si="39"/>
        <v>1.2273958178691047</v>
      </c>
      <c r="V48" s="8">
        <f t="shared" si="39"/>
        <v>1.1204000000000001</v>
      </c>
      <c r="W48" s="8">
        <f t="shared" si="39"/>
        <v>1.0608</v>
      </c>
      <c r="X48" s="8">
        <f t="shared" si="39"/>
        <v>1.0318000000000001</v>
      </c>
      <c r="Y48" s="8">
        <f t="shared" si="39"/>
        <v>1.0187999999999999</v>
      </c>
      <c r="Z48" s="8">
        <f t="shared" ref="Z48:AD48" si="40">AVERAGE(Z30:Z42)</f>
        <v>1.0203233962795533</v>
      </c>
      <c r="AA48" s="8">
        <f t="shared" si="40"/>
        <v>1.0186187265307114</v>
      </c>
      <c r="AB48" s="8">
        <f t="shared" si="40"/>
        <v>1.0156391541972747</v>
      </c>
      <c r="AC48" s="8">
        <f t="shared" si="40"/>
        <v>1.0204223007383393</v>
      </c>
      <c r="AD48" s="8">
        <f t="shared" si="40"/>
        <v>1.0069986859403144</v>
      </c>
      <c r="AE48" s="8"/>
    </row>
    <row r="49" spans="1:65">
      <c r="A49" s="20" t="s">
        <v>46</v>
      </c>
      <c r="B49" s="21">
        <f>(B38+B39+B40)/3</f>
        <v>1.3677834899495955</v>
      </c>
      <c r="C49" s="21">
        <f>(C39+C38+C37)/3</f>
        <v>1.1152957598033479</v>
      </c>
      <c r="D49" s="21">
        <f>(D36+D39+D38)/3</f>
        <v>1.0234550764654455</v>
      </c>
      <c r="E49" s="21">
        <f>(E35+E36+E37)/3</f>
        <v>0.9986633627693039</v>
      </c>
      <c r="F49" s="21">
        <f>(F36+F35+F34)/3</f>
        <v>0.99433523912941968</v>
      </c>
      <c r="G49" s="21">
        <f>(G35+G34+G32)/3</f>
        <v>0.99767039285725856</v>
      </c>
      <c r="H49" s="21">
        <f>(H35+H34+H32)/3</f>
        <v>0.99266317239771906</v>
      </c>
      <c r="I49" s="21">
        <f>(I34+I30+I33)/3</f>
        <v>1.0068237935276465</v>
      </c>
      <c r="J49" s="21">
        <f>(J31+J33)/2</f>
        <v>0.99980221025983351</v>
      </c>
      <c r="K49" s="21">
        <f>K32</f>
        <v>0.99410921375746997</v>
      </c>
      <c r="L49" s="21">
        <f>(L30+L31)/2</f>
        <v>1.0054586567405193</v>
      </c>
      <c r="M49" s="21">
        <v>0.98799999999999999</v>
      </c>
      <c r="N49" s="22">
        <v>1</v>
      </c>
      <c r="O49" s="80"/>
      <c r="P49" s="80"/>
      <c r="Q49" s="8"/>
      <c r="R49" s="20" t="s">
        <v>46</v>
      </c>
      <c r="S49" s="21">
        <f>S41*0.3+S40*0.25+S39*0.2+S38*0.15+S37*0.1</f>
        <v>2.8300982887754378</v>
      </c>
      <c r="T49" s="21">
        <f>T40*0.3+T39*0.25+T38*0.2+T37*0.15+T36*0.1</f>
        <v>1.5432051433419349</v>
      </c>
      <c r="U49" s="21">
        <f>U39*0.3+U38*0.25+U37*0.2+U36*0.15+U35*0.1</f>
        <v>1.2284937268036571</v>
      </c>
      <c r="V49" s="21">
        <f>V38*0.3+V37*0.25+V36*0.2+V35*0.15+V34*0.1</f>
        <v>1.1194</v>
      </c>
      <c r="W49" s="21">
        <f>W37*0.3+W36*0.25+W35*0.2+W34*0.15+W33*0.1</f>
        <v>1.0605500000000001</v>
      </c>
      <c r="X49" s="21">
        <f>X36*0.3+X35*0.25+X34*0.2+X33*0.15+X32*0.1</f>
        <v>1.0314000000000001</v>
      </c>
      <c r="Y49" s="21">
        <f>Y35*0.3+Y34*0.25+Y33*0.2+Y32*0.15+Y31*0.1</f>
        <v>1.0185499999999998</v>
      </c>
      <c r="Z49" s="21">
        <f>Z34*0.3+Z33*0.25+Z32*0.2+Z31*0.15+Z30*0.1</f>
        <v>1.0182582444831316</v>
      </c>
      <c r="AA49" s="21">
        <f>AA33*0.4+AA32*0.3+AA31*0.2+AA30*0.1</f>
        <v>1.0174189261419844</v>
      </c>
      <c r="AB49" s="21">
        <f>AB32*0.45+AB31*0.35 +AB30*0.25</f>
        <v>1.0675731759354905</v>
      </c>
      <c r="AC49" s="21">
        <v>1.0198</v>
      </c>
      <c r="AD49" s="21">
        <v>1.0069999999999999</v>
      </c>
      <c r="AE49">
        <v>1.0000065</v>
      </c>
    </row>
    <row r="50" spans="1:65"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S50" s="8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65">
      <c r="A51" s="12" t="s">
        <v>102</v>
      </c>
      <c r="B51" s="8" t="s">
        <v>71</v>
      </c>
      <c r="C51" s="8" t="s">
        <v>71</v>
      </c>
      <c r="D51" s="8" t="s">
        <v>71</v>
      </c>
      <c r="E51" s="8" t="s">
        <v>71</v>
      </c>
      <c r="F51" s="8" t="s">
        <v>71</v>
      </c>
      <c r="G51" s="8" t="s">
        <v>71</v>
      </c>
      <c r="H51" s="8" t="s">
        <v>71</v>
      </c>
      <c r="I51" s="8" t="s">
        <v>71</v>
      </c>
      <c r="J51" s="8" t="s">
        <v>71</v>
      </c>
      <c r="K51" s="8" t="s">
        <v>71</v>
      </c>
      <c r="L51" s="8" t="s">
        <v>71</v>
      </c>
      <c r="M51" s="8" t="s">
        <v>71</v>
      </c>
      <c r="N51" s="8" t="s">
        <v>71</v>
      </c>
      <c r="O51" s="8"/>
      <c r="P51" s="8"/>
      <c r="Q51" s="8"/>
      <c r="R51" s="12" t="s">
        <v>102</v>
      </c>
      <c r="S51" s="8" t="s">
        <v>71</v>
      </c>
      <c r="T51" s="8" t="s">
        <v>71</v>
      </c>
      <c r="U51" s="8" t="s">
        <v>71</v>
      </c>
      <c r="V51" s="8" t="s">
        <v>71</v>
      </c>
      <c r="W51" s="8" t="s">
        <v>71</v>
      </c>
      <c r="X51" s="8" t="s">
        <v>71</v>
      </c>
      <c r="Y51" s="8" t="s">
        <v>71</v>
      </c>
      <c r="Z51" s="8" t="s">
        <v>71</v>
      </c>
      <c r="AA51" s="8" t="s">
        <v>71</v>
      </c>
      <c r="AB51" s="8" t="s">
        <v>71</v>
      </c>
      <c r="AC51" s="8" t="s">
        <v>71</v>
      </c>
      <c r="AD51" s="8" t="s">
        <v>71</v>
      </c>
      <c r="AE51" s="8" t="s">
        <v>71</v>
      </c>
    </row>
    <row r="52" spans="1:65">
      <c r="A52" s="11" t="str">
        <f>A44</f>
        <v>2 Year</v>
      </c>
      <c r="B52" s="8">
        <f t="shared" ref="B52:G52" si="41">C52*B44</f>
        <v>1.6478436789153972</v>
      </c>
      <c r="C52" s="8">
        <f t="shared" si="41"/>
        <v>1.1555733961299008</v>
      </c>
      <c r="D52" s="8">
        <f t="shared" si="41"/>
        <v>1.0172827062266976</v>
      </c>
      <c r="E52" s="8">
        <f t="shared" si="41"/>
        <v>0.99862623921632332</v>
      </c>
      <c r="F52" s="8">
        <f t="shared" si="41"/>
        <v>0.99613563490121437</v>
      </c>
      <c r="G52" s="8">
        <f t="shared" si="41"/>
        <v>0.99763056114892323</v>
      </c>
      <c r="H52" s="8">
        <f>I52*H44</f>
        <v>1.0006335085942022</v>
      </c>
      <c r="I52" s="8">
        <f t="shared" ref="I52:M52" si="42">J52*I44</f>
        <v>1.0107410059760829</v>
      </c>
      <c r="J52" s="8">
        <f t="shared" si="42"/>
        <v>1.0102750339088418</v>
      </c>
      <c r="K52" s="8">
        <f t="shared" si="42"/>
        <v>1.0051166305684578</v>
      </c>
      <c r="L52" s="8">
        <f t="shared" si="42"/>
        <v>0.9955010152226621</v>
      </c>
      <c r="M52" s="8">
        <f t="shared" si="42"/>
        <v>0.99009641873278242</v>
      </c>
      <c r="N52" s="19">
        <v>1</v>
      </c>
      <c r="O52" s="19"/>
      <c r="P52" s="19"/>
      <c r="Q52" s="8"/>
      <c r="R52" s="11" t="str">
        <f>R44</f>
        <v>2 Year</v>
      </c>
      <c r="S52" s="8">
        <f t="shared" ref="S52:Y52" si="43">T52*S44</f>
        <v>7.3394999630029618</v>
      </c>
      <c r="T52" s="8">
        <f t="shared" si="43"/>
        <v>2.5510948776513596</v>
      </c>
      <c r="U52" s="8">
        <f t="shared" si="43"/>
        <v>1.6479831559235214</v>
      </c>
      <c r="V52" s="8">
        <f t="shared" si="43"/>
        <v>1.3403799674946768</v>
      </c>
      <c r="W52" s="8">
        <f t="shared" si="43"/>
        <v>1.2010573185436171</v>
      </c>
      <c r="X52" s="8">
        <f t="shared" si="43"/>
        <v>1.1325387256422603</v>
      </c>
      <c r="Y52" s="8">
        <f t="shared" si="43"/>
        <v>1.1011557857484302</v>
      </c>
      <c r="Z52" s="8">
        <f t="shared" ref="Z52:AD52" si="44">AA52*Z44</f>
        <v>1.083814749752392</v>
      </c>
      <c r="AA52" s="8">
        <f t="shared" si="44"/>
        <v>1.0712575210543449</v>
      </c>
      <c r="AB52" s="8">
        <f t="shared" si="44"/>
        <v>1.0516692617412922</v>
      </c>
      <c r="AC52" s="8">
        <f t="shared" si="44"/>
        <v>1.0275639159476999</v>
      </c>
      <c r="AD52" s="8">
        <f t="shared" si="44"/>
        <v>1.0069986859403144</v>
      </c>
      <c r="AE52" s="19">
        <v>1</v>
      </c>
    </row>
    <row r="53" spans="1:65">
      <c r="A53" s="11" t="str">
        <f t="shared" ref="A53:A56" si="45">A45</f>
        <v>3 Year</v>
      </c>
      <c r="B53" s="8">
        <f t="shared" ref="B53:B56" si="46">C53*B45</f>
        <v>1.6188584385222455</v>
      </c>
      <c r="C53" s="8">
        <f t="shared" ref="C53:C56" si="47">D53*C45</f>
        <v>1.1447831836905382</v>
      </c>
      <c r="D53" s="8">
        <f t="shared" ref="D53:D56" si="48">E53*D45</f>
        <v>1.0146166742499905</v>
      </c>
      <c r="E53" s="8">
        <f t="shared" ref="E53:E56" si="49">F53*E45</f>
        <v>0.99071778622123174</v>
      </c>
      <c r="F53" s="8">
        <f t="shared" ref="F53:F56" si="50">G53*F45</f>
        <v>0.99038854164978907</v>
      </c>
      <c r="G53" s="8">
        <f t="shared" ref="G53:G56" si="51">H53*G45</f>
        <v>0.99369799384071755</v>
      </c>
      <c r="H53" s="8">
        <f t="shared" ref="H53:M53" si="52">I53*H45</f>
        <v>0.99469176520058389</v>
      </c>
      <c r="I53" s="8">
        <f t="shared" si="52"/>
        <v>1.0003563122285555</v>
      </c>
      <c r="J53" s="8">
        <f t="shared" si="52"/>
        <v>1.002230421092513</v>
      </c>
      <c r="K53" s="8">
        <f t="shared" si="52"/>
        <v>0.99562299228537166</v>
      </c>
      <c r="L53" s="8">
        <f t="shared" si="52"/>
        <v>0.9955010152226621</v>
      </c>
      <c r="M53" s="8">
        <f t="shared" si="52"/>
        <v>0.99009641873278242</v>
      </c>
      <c r="N53" s="19">
        <v>1</v>
      </c>
      <c r="O53" s="19"/>
      <c r="P53" s="19"/>
      <c r="Q53" s="8"/>
      <c r="R53" s="11" t="str">
        <f t="shared" ref="R53:R56" si="53">R45</f>
        <v>3 Year</v>
      </c>
      <c r="S53" s="8">
        <f t="shared" ref="S53:S56" si="54">T53*S45</f>
        <v>7.3451058267512348</v>
      </c>
      <c r="T53" s="8">
        <f t="shared" ref="T53:T56" si="55">U53*T45</f>
        <v>2.5577875060937583</v>
      </c>
      <c r="U53" s="8">
        <f t="shared" ref="U53:U56" si="56">V53*U45</f>
        <v>1.6530220831646003</v>
      </c>
      <c r="V53" s="8">
        <f t="shared" ref="V53:V56" si="57">W53*V45</f>
        <v>1.3442923175727757</v>
      </c>
      <c r="W53" s="8">
        <f t="shared" ref="W53:W56" si="58">X53*W45</f>
        <v>1.2038438664830824</v>
      </c>
      <c r="X53" s="8">
        <f t="shared" ref="X53:Y56" si="59">Y53*X45</f>
        <v>1.1364164881841559</v>
      </c>
      <c r="Y53" s="8">
        <f t="shared" si="59"/>
        <v>1.1008232045697341</v>
      </c>
      <c r="Z53" s="8">
        <f t="shared" ref="Z53:AD53" si="60">AA53*Z45</f>
        <v>1.0802975510988559</v>
      </c>
      <c r="AA53" s="8">
        <f t="shared" si="60"/>
        <v>1.0615659764468381</v>
      </c>
      <c r="AB53" s="8">
        <f t="shared" si="60"/>
        <v>1.0436341464767613</v>
      </c>
      <c r="AC53" s="8">
        <f t="shared" si="60"/>
        <v>1.0275639159476999</v>
      </c>
      <c r="AD53" s="8">
        <f t="shared" si="60"/>
        <v>1.0069986859403144</v>
      </c>
      <c r="AE53" s="19">
        <v>1</v>
      </c>
    </row>
    <row r="54" spans="1:65">
      <c r="A54" s="11" t="str">
        <f t="shared" si="45"/>
        <v>4 Year</v>
      </c>
      <c r="B54" s="8">
        <f t="shared" si="46"/>
        <v>1.6209097120057894</v>
      </c>
      <c r="C54" s="8">
        <f t="shared" si="47"/>
        <v>1.1556577591900745</v>
      </c>
      <c r="D54" s="8">
        <f t="shared" si="48"/>
        <v>1.0284223241247308</v>
      </c>
      <c r="E54" s="8">
        <f t="shared" si="49"/>
        <v>1.0020265966010169</v>
      </c>
      <c r="F54" s="8">
        <f t="shared" si="50"/>
        <v>1.000778096996995</v>
      </c>
      <c r="G54" s="8">
        <f t="shared" si="51"/>
        <v>1.0045435153403139</v>
      </c>
      <c r="H54" s="8">
        <f t="shared" ref="H54:M54" si="61">I54*H46</f>
        <v>1.0085788444388077</v>
      </c>
      <c r="I54" s="8">
        <f t="shared" si="61"/>
        <v>1.0133919235934046</v>
      </c>
      <c r="J54" s="8">
        <f t="shared" si="61"/>
        <v>1.0029665639765066</v>
      </c>
      <c r="K54" s="8">
        <f t="shared" si="61"/>
        <v>0.99562299228537166</v>
      </c>
      <c r="L54" s="8">
        <f t="shared" si="61"/>
        <v>0.9955010152226621</v>
      </c>
      <c r="M54" s="8">
        <f t="shared" si="61"/>
        <v>0.99009641873278242</v>
      </c>
      <c r="N54" s="19">
        <v>1</v>
      </c>
      <c r="O54" s="19"/>
      <c r="P54" s="19"/>
      <c r="Q54" s="8"/>
      <c r="R54" s="11" t="str">
        <f t="shared" si="53"/>
        <v>4 Year</v>
      </c>
      <c r="S54" s="8">
        <f t="shared" si="54"/>
        <v>7.2959198256613824</v>
      </c>
      <c r="T54" s="8">
        <f t="shared" si="55"/>
        <v>2.5712512160869347</v>
      </c>
      <c r="U54" s="8">
        <f t="shared" si="56"/>
        <v>1.6610094786480805</v>
      </c>
      <c r="V54" s="8">
        <f t="shared" si="57"/>
        <v>1.3490489592058843</v>
      </c>
      <c r="W54" s="8">
        <f t="shared" si="58"/>
        <v>1.2026288916477685</v>
      </c>
      <c r="X54" s="8">
        <f t="shared" si="59"/>
        <v>1.1334862315247582</v>
      </c>
      <c r="Y54" s="8">
        <f t="shared" si="59"/>
        <v>1.0980733654877772</v>
      </c>
      <c r="Z54" s="8">
        <f t="shared" ref="Z54:AD54" si="62">AA54*Z46</f>
        <v>1.0768064383307452</v>
      </c>
      <c r="AA54" s="8">
        <f t="shared" si="62"/>
        <v>1.0630652852481246</v>
      </c>
      <c r="AB54" s="8">
        <f t="shared" si="62"/>
        <v>1.0436341464767613</v>
      </c>
      <c r="AC54" s="8">
        <f t="shared" si="62"/>
        <v>1.0275639159476999</v>
      </c>
      <c r="AD54" s="8">
        <f t="shared" si="62"/>
        <v>1.0069986859403144</v>
      </c>
      <c r="AE54" s="19">
        <v>1</v>
      </c>
    </row>
    <row r="55" spans="1:65">
      <c r="A55" s="11" t="str">
        <f t="shared" si="45"/>
        <v>5 Year</v>
      </c>
      <c r="B55" s="8">
        <f t="shared" si="46"/>
        <v>1.5963603547507628</v>
      </c>
      <c r="C55" s="8">
        <f t="shared" si="47"/>
        <v>1.151883914672688</v>
      </c>
      <c r="D55" s="8">
        <f t="shared" si="48"/>
        <v>1.0295942519792132</v>
      </c>
      <c r="E55" s="8">
        <f t="shared" si="49"/>
        <v>1.0014795505541239</v>
      </c>
      <c r="F55" s="8">
        <f t="shared" si="50"/>
        <v>1.0002797501318832</v>
      </c>
      <c r="G55" s="8">
        <f t="shared" si="51"/>
        <v>1.0051028655923466</v>
      </c>
      <c r="H55" s="8">
        <f t="shared" ref="H55:M55" si="63">I55*H47</f>
        <v>1.0099496636599743</v>
      </c>
      <c r="I55" s="8">
        <f t="shared" si="63"/>
        <v>1.0152282332544185</v>
      </c>
      <c r="J55" s="8">
        <f t="shared" si="63"/>
        <v>1.0029665639765066</v>
      </c>
      <c r="K55" s="8">
        <f t="shared" si="63"/>
        <v>0.99562299228537166</v>
      </c>
      <c r="L55" s="8">
        <f t="shared" si="63"/>
        <v>0.9955010152226621</v>
      </c>
      <c r="M55" s="8">
        <f t="shared" si="63"/>
        <v>0.99009641873278242</v>
      </c>
      <c r="N55" s="19">
        <v>1</v>
      </c>
      <c r="O55" s="19"/>
      <c r="P55" s="19"/>
      <c r="Q55" s="8"/>
      <c r="R55" s="11" t="str">
        <f t="shared" si="53"/>
        <v>5 Year</v>
      </c>
      <c r="S55" s="8">
        <f t="shared" si="54"/>
        <v>7.1757984512603832</v>
      </c>
      <c r="T55" s="8">
        <f t="shared" si="55"/>
        <v>2.5615059736461485</v>
      </c>
      <c r="U55" s="8">
        <f t="shared" si="56"/>
        <v>1.6633111231583557</v>
      </c>
      <c r="V55" s="8">
        <f t="shared" si="57"/>
        <v>1.3551546281508833</v>
      </c>
      <c r="W55" s="8">
        <f t="shared" si="58"/>
        <v>1.2095275153078215</v>
      </c>
      <c r="X55" s="8">
        <f t="shared" si="59"/>
        <v>1.1402031629975693</v>
      </c>
      <c r="Y55" s="8">
        <f t="shared" si="59"/>
        <v>1.1050621854987102</v>
      </c>
      <c r="Z55" s="8">
        <f t="shared" ref="Z55:AD55" si="64">AA55*Z47</f>
        <v>1.0846703823112587</v>
      </c>
      <c r="AA55" s="8">
        <f t="shared" si="64"/>
        <v>1.0630652852481246</v>
      </c>
      <c r="AB55" s="8">
        <f t="shared" si="64"/>
        <v>1.0436341464767613</v>
      </c>
      <c r="AC55" s="8">
        <f t="shared" si="64"/>
        <v>1.0275639159476999</v>
      </c>
      <c r="AD55" s="8">
        <f t="shared" si="64"/>
        <v>1.0069986859403144</v>
      </c>
      <c r="AE55" s="19">
        <v>1</v>
      </c>
    </row>
    <row r="56" spans="1:65">
      <c r="A56" s="11" t="str">
        <f t="shared" si="45"/>
        <v>All Year</v>
      </c>
      <c r="B56" s="8">
        <f t="shared" si="46"/>
        <v>1.5963603547507628</v>
      </c>
      <c r="C56" s="8">
        <f t="shared" si="47"/>
        <v>1.151883914672688</v>
      </c>
      <c r="D56" s="8">
        <f t="shared" si="48"/>
        <v>1.0295942519792132</v>
      </c>
      <c r="E56" s="8">
        <f t="shared" si="49"/>
        <v>1.0014795505541239</v>
      </c>
      <c r="F56" s="8">
        <f t="shared" si="50"/>
        <v>1.0002797501318832</v>
      </c>
      <c r="G56" s="8">
        <f t="shared" si="51"/>
        <v>1.0051028655923466</v>
      </c>
      <c r="H56" s="8">
        <f t="shared" ref="H56:M56" si="65">I56*H48</f>
        <v>1.0099496636599743</v>
      </c>
      <c r="I56" s="8">
        <f t="shared" si="65"/>
        <v>1.0152282332544185</v>
      </c>
      <c r="J56" s="8">
        <f t="shared" si="65"/>
        <v>1.0029665639765066</v>
      </c>
      <c r="K56" s="8">
        <f t="shared" si="65"/>
        <v>0.99562299228537166</v>
      </c>
      <c r="L56" s="8">
        <f t="shared" si="65"/>
        <v>0.9955010152226621</v>
      </c>
      <c r="M56" s="8">
        <f t="shared" si="65"/>
        <v>0.99009641873278242</v>
      </c>
      <c r="N56" s="19">
        <v>1</v>
      </c>
      <c r="O56" s="19"/>
      <c r="P56" s="19"/>
      <c r="Q56" s="8"/>
      <c r="R56" s="11" t="str">
        <f t="shared" si="53"/>
        <v>All Year</v>
      </c>
      <c r="S56" s="8">
        <f t="shared" si="54"/>
        <v>7.1757984512603832</v>
      </c>
      <c r="T56" s="8">
        <f t="shared" si="55"/>
        <v>2.5615059736461485</v>
      </c>
      <c r="U56" s="8">
        <f t="shared" si="56"/>
        <v>1.6633111231583557</v>
      </c>
      <c r="V56" s="8">
        <f t="shared" si="57"/>
        <v>1.3551546281508833</v>
      </c>
      <c r="W56" s="8">
        <f t="shared" si="58"/>
        <v>1.2095275153078215</v>
      </c>
      <c r="X56" s="8">
        <f t="shared" si="59"/>
        <v>1.1402031629975693</v>
      </c>
      <c r="Y56" s="8">
        <f t="shared" si="59"/>
        <v>1.1050621854987102</v>
      </c>
      <c r="Z56" s="8">
        <f t="shared" ref="Z56:AD56" si="66">AA56*Z48</f>
        <v>1.0846703823112587</v>
      </c>
      <c r="AA56" s="8">
        <f t="shared" si="66"/>
        <v>1.0630652852481246</v>
      </c>
      <c r="AB56" s="8">
        <f t="shared" si="66"/>
        <v>1.0436341464767613</v>
      </c>
      <c r="AC56" s="8">
        <f t="shared" si="66"/>
        <v>1.0275639159476999</v>
      </c>
      <c r="AD56" s="8">
        <f t="shared" si="66"/>
        <v>1.0069986859403144</v>
      </c>
      <c r="AE56" s="19">
        <v>1</v>
      </c>
    </row>
    <row r="57" spans="1:65">
      <c r="A57" s="20" t="s">
        <v>46</v>
      </c>
      <c r="B57" s="21">
        <f t="shared" ref="B57:G57" si="67">B49*C57</f>
        <v>1.5263001944451657</v>
      </c>
      <c r="C57" s="21">
        <f t="shared" si="67"/>
        <v>1.1158931261126801</v>
      </c>
      <c r="D57" s="21">
        <f t="shared" si="67"/>
        <v>1.0005356124634039</v>
      </c>
      <c r="E57" s="21">
        <f t="shared" si="67"/>
        <v>0.97760579381637813</v>
      </c>
      <c r="F57" s="21">
        <f t="shared" si="67"/>
        <v>0.97891424704463681</v>
      </c>
      <c r="G57" s="21">
        <f t="shared" si="67"/>
        <v>0.9844911540113126</v>
      </c>
      <c r="H57" s="21">
        <f t="shared" ref="H57" si="68">H49*I57</f>
        <v>0.98678998701344489</v>
      </c>
      <c r="I57" s="21">
        <f t="shared" ref="I57" si="69">I49*J57</f>
        <v>0.99408340558249197</v>
      </c>
      <c r="J57" s="21">
        <f t="shared" ref="J57" si="70">J49*K57</f>
        <v>0.98734596060695434</v>
      </c>
      <c r="K57" s="21">
        <f t="shared" ref="K57" si="71">K49*L57</f>
        <v>0.98754128614134395</v>
      </c>
      <c r="L57" s="21">
        <f t="shared" ref="L57" si="72">L49*M57</f>
        <v>0.99339315285963303</v>
      </c>
      <c r="M57" s="21">
        <f t="shared" ref="M57" si="73">M49*N57</f>
        <v>0.98799999999999999</v>
      </c>
      <c r="N57" s="22">
        <f>N49</f>
        <v>1</v>
      </c>
      <c r="O57" s="80"/>
      <c r="P57" s="80"/>
      <c r="R57" s="20" t="s">
        <v>46</v>
      </c>
      <c r="S57" s="21">
        <f t="shared" ref="S57:X57" si="74">S49*T57</f>
        <v>7.6002303722257523</v>
      </c>
      <c r="T57" s="21">
        <f t="shared" si="74"/>
        <v>2.68550050094349</v>
      </c>
      <c r="U57" s="21">
        <f>U49*V57</f>
        <v>1.7402096620335405</v>
      </c>
      <c r="V57" s="21">
        <f t="shared" si="74"/>
        <v>1.4165393148252259</v>
      </c>
      <c r="W57" s="21">
        <f t="shared" si="74"/>
        <v>1.2654451624309684</v>
      </c>
      <c r="X57" s="21">
        <f t="shared" si="74"/>
        <v>1.193197079280532</v>
      </c>
      <c r="Y57" s="21">
        <f>Y49*Z57</f>
        <v>1.1568713198376304</v>
      </c>
      <c r="Z57" s="21">
        <f>Z49*AA57</f>
        <v>1.1358021892274612</v>
      </c>
      <c r="AA57" s="21">
        <f t="shared" ref="AA57" si="75">AA49*AB57</f>
        <v>1.1154362809053364</v>
      </c>
      <c r="AB57" s="21">
        <f t="shared" ref="AB57" si="76">AB49*AC57</f>
        <v>1.0963392288514135</v>
      </c>
      <c r="AC57" s="21">
        <f t="shared" ref="AC57" si="77">AC49*AD57</f>
        <v>1.0269452751008998</v>
      </c>
      <c r="AD57" s="21">
        <f t="shared" ref="AD57" si="78">AD49*AE57</f>
        <v>1.0070065454999999</v>
      </c>
      <c r="AE57" s="22">
        <f>AE49</f>
        <v>1.0000065</v>
      </c>
    </row>
    <row r="60" spans="1:65">
      <c r="AJ60" s="1" t="s">
        <v>71</v>
      </c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Z60" s="1" t="s">
        <v>71</v>
      </c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</row>
    <row r="61" spans="1:65">
      <c r="A61" s="1" t="s">
        <v>71</v>
      </c>
      <c r="B61" s="104" t="s">
        <v>88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71"/>
      <c r="P61" s="71"/>
      <c r="Q61" s="71"/>
      <c r="R61" s="1" t="s">
        <v>71</v>
      </c>
      <c r="S61" s="104" t="s">
        <v>89</v>
      </c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J61" s="2" t="s">
        <v>71</v>
      </c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Z61" s="2" t="s">
        <v>71</v>
      </c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</row>
    <row r="62" spans="1:65">
      <c r="A62" s="2" t="s">
        <v>71</v>
      </c>
      <c r="B62" s="104" t="s">
        <v>92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71"/>
      <c r="P62" s="71"/>
      <c r="Q62" s="71"/>
      <c r="R62" s="2" t="s">
        <v>71</v>
      </c>
      <c r="S62" s="104" t="s">
        <v>92</v>
      </c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65">
      <c r="B63" s="2">
        <v>12</v>
      </c>
      <c r="C63" s="2">
        <v>24</v>
      </c>
      <c r="D63" s="2">
        <v>36</v>
      </c>
      <c r="E63" s="2">
        <v>48</v>
      </c>
      <c r="F63" s="2">
        <v>60</v>
      </c>
      <c r="G63" s="2">
        <v>72</v>
      </c>
      <c r="H63" s="2">
        <v>84</v>
      </c>
      <c r="I63" s="2">
        <v>96</v>
      </c>
      <c r="J63" s="2">
        <v>108</v>
      </c>
      <c r="K63" s="2">
        <v>120</v>
      </c>
      <c r="L63" s="2">
        <v>132</v>
      </c>
      <c r="M63" s="2">
        <v>144</v>
      </c>
      <c r="N63" s="2">
        <v>156</v>
      </c>
      <c r="O63" s="2"/>
      <c r="P63" s="2"/>
      <c r="S63" s="2">
        <v>12</v>
      </c>
      <c r="T63" s="2">
        <v>24</v>
      </c>
      <c r="U63" s="2">
        <v>36</v>
      </c>
      <c r="V63" s="2">
        <v>48</v>
      </c>
      <c r="W63" s="2">
        <v>60</v>
      </c>
      <c r="X63" s="2">
        <v>72</v>
      </c>
      <c r="Y63" s="2">
        <v>84</v>
      </c>
      <c r="Z63" s="2">
        <v>96</v>
      </c>
      <c r="AA63" s="2">
        <v>108</v>
      </c>
      <c r="AB63" s="2">
        <v>120</v>
      </c>
      <c r="AC63" s="2">
        <v>132</v>
      </c>
      <c r="AD63" s="2">
        <v>144</v>
      </c>
      <c r="AE63" s="2">
        <v>156</v>
      </c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65">
      <c r="A64" s="2" t="s">
        <v>103</v>
      </c>
      <c r="B64" s="2" t="s">
        <v>95</v>
      </c>
      <c r="C64" s="2" t="s">
        <v>95</v>
      </c>
      <c r="D64" s="2" t="s">
        <v>95</v>
      </c>
      <c r="E64" s="2" t="s">
        <v>95</v>
      </c>
      <c r="F64" s="2" t="s">
        <v>95</v>
      </c>
      <c r="G64" s="2" t="s">
        <v>95</v>
      </c>
      <c r="H64" s="2" t="s">
        <v>95</v>
      </c>
      <c r="I64" s="2" t="s">
        <v>95</v>
      </c>
      <c r="J64" s="2" t="s">
        <v>95</v>
      </c>
      <c r="K64" s="2" t="s">
        <v>95</v>
      </c>
      <c r="L64" s="2" t="s">
        <v>95</v>
      </c>
      <c r="M64" s="2" t="s">
        <v>95</v>
      </c>
      <c r="N64" s="2" t="s">
        <v>95</v>
      </c>
      <c r="O64" s="2"/>
      <c r="P64" s="2"/>
      <c r="R64" s="2" t="s">
        <v>103</v>
      </c>
      <c r="S64" s="2" t="s">
        <v>95</v>
      </c>
      <c r="T64" s="2" t="s">
        <v>95</v>
      </c>
      <c r="U64" s="2" t="s">
        <v>95</v>
      </c>
      <c r="V64" s="2" t="s">
        <v>95</v>
      </c>
      <c r="W64" s="2" t="s">
        <v>95</v>
      </c>
      <c r="X64" s="2" t="s">
        <v>95</v>
      </c>
      <c r="Y64" s="2" t="s">
        <v>95</v>
      </c>
      <c r="Z64" s="2" t="s">
        <v>95</v>
      </c>
      <c r="AA64" s="2" t="s">
        <v>95</v>
      </c>
      <c r="AB64" s="2" t="s">
        <v>95</v>
      </c>
      <c r="AC64" s="2" t="s">
        <v>95</v>
      </c>
      <c r="AD64" s="2" t="s">
        <v>95</v>
      </c>
      <c r="AE64" s="2" t="s">
        <v>95</v>
      </c>
      <c r="AJ64" s="3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Z64" s="3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</row>
    <row r="65" spans="1:65">
      <c r="A65" s="3" t="s">
        <v>54</v>
      </c>
      <c r="B65" s="4">
        <v>24</v>
      </c>
      <c r="C65" s="4">
        <v>36</v>
      </c>
      <c r="D65" s="4">
        <v>48</v>
      </c>
      <c r="E65" s="4">
        <v>60</v>
      </c>
      <c r="F65" s="4">
        <v>72</v>
      </c>
      <c r="G65" s="4">
        <v>84</v>
      </c>
      <c r="H65" s="4">
        <v>96</v>
      </c>
      <c r="I65" s="4">
        <v>108</v>
      </c>
      <c r="J65" s="4">
        <v>120</v>
      </c>
      <c r="K65" s="4">
        <v>132</v>
      </c>
      <c r="L65" s="4">
        <v>144</v>
      </c>
      <c r="M65" s="4">
        <v>156</v>
      </c>
      <c r="N65" s="4" t="s">
        <v>47</v>
      </c>
      <c r="O65" s="4"/>
      <c r="P65" s="4"/>
      <c r="R65" s="3" t="s">
        <v>54</v>
      </c>
      <c r="S65" s="4">
        <v>24</v>
      </c>
      <c r="T65" s="4">
        <v>36</v>
      </c>
      <c r="U65" s="4">
        <v>48</v>
      </c>
      <c r="V65" s="4">
        <v>60</v>
      </c>
      <c r="W65" s="4">
        <v>72</v>
      </c>
      <c r="X65" s="4">
        <v>84</v>
      </c>
      <c r="Y65" s="4">
        <v>96</v>
      </c>
      <c r="Z65" s="4">
        <v>108</v>
      </c>
      <c r="AA65" s="4">
        <v>120</v>
      </c>
      <c r="AB65" s="4">
        <v>132</v>
      </c>
      <c r="AC65" s="4">
        <v>144</v>
      </c>
      <c r="AD65" s="4">
        <v>156</v>
      </c>
      <c r="AE65" s="4" t="s">
        <v>47</v>
      </c>
      <c r="AJ65" s="3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Z65" s="3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</row>
    <row r="66" spans="1:6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R66" s="3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J66" s="2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Z66" s="2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</row>
    <row r="67" spans="1:65">
      <c r="A67" s="2">
        <f>A15</f>
        <v>2010</v>
      </c>
      <c r="B67" s="9">
        <f ca="1">OFFSET(B37,($B$63-B$63)/12,0)</f>
        <v>1.3190005316321105</v>
      </c>
      <c r="C67" s="9">
        <f t="shared" ref="C67:I67" ca="1" si="79">OFFSET(C37,($B$63-C$63)/12,0)</f>
        <v>1.0989968755138957</v>
      </c>
      <c r="D67" s="9">
        <f t="shared" ca="1" si="79"/>
        <v>1.0349964598956753</v>
      </c>
      <c r="E67" s="9">
        <f t="shared" ca="1" si="79"/>
        <v>1.0010072087368163</v>
      </c>
      <c r="F67" s="9">
        <f t="shared" ca="1" si="79"/>
        <v>0.99100040643325782</v>
      </c>
      <c r="G67" s="9">
        <f t="shared" ca="1" si="79"/>
        <v>0.99200877467878412</v>
      </c>
      <c r="H67" s="9">
        <f t="shared" ca="1" si="79"/>
        <v>0.99300093801861611</v>
      </c>
      <c r="I67" s="9">
        <f t="shared" ca="1" si="79"/>
        <v>1.0195489148154975</v>
      </c>
      <c r="J67" s="9"/>
      <c r="K67" s="9"/>
      <c r="L67" s="9"/>
      <c r="M67" s="9"/>
      <c r="R67" s="2">
        <f>R15</f>
        <v>2010</v>
      </c>
      <c r="S67" s="9">
        <f ca="1">OFFSET(S37,($B$63-S$63)/12,0)</f>
        <v>2.657</v>
      </c>
      <c r="T67" s="9">
        <f t="shared" ref="T67:Z67" ca="1" si="80">OFFSET(T37,($B$63-T$63)/12,0)</f>
        <v>1.508</v>
      </c>
      <c r="U67" s="9">
        <f t="shared" ca="1" si="80"/>
        <v>1.212</v>
      </c>
      <c r="V67" s="9">
        <f t="shared" ca="1" si="80"/>
        <v>1.115</v>
      </c>
      <c r="W67" s="9">
        <f t="shared" ca="1" si="80"/>
        <v>1.06</v>
      </c>
      <c r="X67" s="9">
        <f t="shared" ca="1" si="80"/>
        <v>1.03</v>
      </c>
      <c r="Y67" s="9">
        <f t="shared" ca="1" si="80"/>
        <v>1.0149999999999999</v>
      </c>
      <c r="Z67" s="9">
        <f t="shared" ca="1" si="80"/>
        <v>1.0254763825742708</v>
      </c>
      <c r="AA67" s="9"/>
      <c r="AB67" s="9"/>
      <c r="AC67" s="9"/>
      <c r="AD67" s="9"/>
      <c r="AJ67" s="2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Z67" s="2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</row>
    <row r="68" spans="1:65">
      <c r="A68" s="2">
        <f>A16</f>
        <v>2011</v>
      </c>
      <c r="B68" s="9">
        <f t="shared" ref="B68:J68" ca="1" si="81">OFFSET(B38,($B$63-B$63)/12,0)</f>
        <v>1.3679912785105064</v>
      </c>
      <c r="C68" s="9">
        <f t="shared" ca="1" si="81"/>
        <v>1.1100022571179828</v>
      </c>
      <c r="D68" s="9">
        <f t="shared" ca="1" si="81"/>
        <v>1.0330009658155701</v>
      </c>
      <c r="E68" s="9">
        <f t="shared" ca="1" si="81"/>
        <v>1.003992796213824</v>
      </c>
      <c r="F68" s="9">
        <f t="shared" ca="1" si="81"/>
        <v>0.9949977719961477</v>
      </c>
      <c r="G68" s="9">
        <f t="shared" ca="1" si="81"/>
        <v>0.98699320365596432</v>
      </c>
      <c r="H68" s="9">
        <f t="shared" ca="1" si="81"/>
        <v>0.99798968998147641</v>
      </c>
      <c r="I68" s="9">
        <f t="shared" ca="1" si="81"/>
        <v>1.0471879087341955</v>
      </c>
      <c r="J68" s="9">
        <f t="shared" ca="1" si="81"/>
        <v>1.0095939933259177</v>
      </c>
      <c r="K68" s="9"/>
      <c r="L68" s="9"/>
      <c r="M68" s="9"/>
      <c r="R68" s="2">
        <f>R16</f>
        <v>2011</v>
      </c>
      <c r="S68" s="9">
        <f t="shared" ref="S68:AA68" ca="1" si="82">OFFSET(S38,($B$63-S$63)/12,0)</f>
        <v>2.7349999999999999</v>
      </c>
      <c r="T68" s="9">
        <f t="shared" ca="1" si="82"/>
        <v>1.55</v>
      </c>
      <c r="U68" s="9">
        <f t="shared" ca="1" si="82"/>
        <v>1.236</v>
      </c>
      <c r="V68" s="9">
        <f t="shared" ca="1" si="82"/>
        <v>1.137</v>
      </c>
      <c r="W68" s="9">
        <f t="shared" ca="1" si="82"/>
        <v>1.0660000000000001</v>
      </c>
      <c r="X68" s="9">
        <f t="shared" ca="1" si="82"/>
        <v>1.032</v>
      </c>
      <c r="Y68" s="9">
        <f t="shared" ca="1" si="82"/>
        <v>1.022</v>
      </c>
      <c r="Z68" s="9">
        <f t="shared" ca="1" si="82"/>
        <v>1.0373626800823705</v>
      </c>
      <c r="AA68" s="9">
        <f t="shared" ca="1" si="82"/>
        <v>1.0229285954814775</v>
      </c>
      <c r="AB68" s="9"/>
      <c r="AC68" s="9"/>
      <c r="AD68" s="9"/>
      <c r="AJ68" s="2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Z68" s="2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</row>
    <row r="69" spans="1:65">
      <c r="A69" s="2">
        <f>A17</f>
        <v>2012</v>
      </c>
      <c r="B69" s="9">
        <f t="shared" ref="B69:K69" ca="1" si="83">OFFSET(B39,($B$63-B$63)/12,0)</f>
        <v>1.3903607179841215</v>
      </c>
      <c r="C69" s="9">
        <f t="shared" ca="1" si="83"/>
        <v>1.1129914369648104</v>
      </c>
      <c r="D69" s="9">
        <f t="shared" ca="1" si="83"/>
        <v>1.0350041394936746</v>
      </c>
      <c r="E69" s="9">
        <f t="shared" ca="1" si="83"/>
        <v>0.99599678689474447</v>
      </c>
      <c r="F69" s="9">
        <f t="shared" ca="1" si="83"/>
        <v>0.99300563164847389</v>
      </c>
      <c r="G69" s="9">
        <f t="shared" ca="1" si="83"/>
        <v>1.0030048684647723</v>
      </c>
      <c r="H69" s="9">
        <f t="shared" ca="1" si="83"/>
        <v>1.0030125845898137</v>
      </c>
      <c r="I69" s="9">
        <f t="shared" ca="1" si="83"/>
        <v>0.99346771988892246</v>
      </c>
      <c r="J69" s="9">
        <f t="shared" ca="1" si="83"/>
        <v>1.0096451420403292</v>
      </c>
      <c r="K69" s="9">
        <f t="shared" ca="1" si="83"/>
        <v>0.98104944222558876</v>
      </c>
      <c r="L69" s="9"/>
      <c r="M69" s="9"/>
      <c r="R69" s="2">
        <f>R17</f>
        <v>2012</v>
      </c>
      <c r="S69" s="9">
        <f t="shared" ref="S69:AB69" ca="1" si="84">OFFSET(S39,($B$63-S$63)/12,0)</f>
        <v>2.8609914438771891</v>
      </c>
      <c r="T69" s="9">
        <f t="shared" ca="1" si="84"/>
        <v>1.546</v>
      </c>
      <c r="U69" s="9">
        <f t="shared" ca="1" si="84"/>
        <v>1.23</v>
      </c>
      <c r="V69" s="9">
        <f t="shared" ca="1" si="84"/>
        <v>1.1180000000000001</v>
      </c>
      <c r="W69" s="9">
        <f t="shared" ca="1" si="84"/>
        <v>1.0569999999999999</v>
      </c>
      <c r="X69" s="9">
        <f t="shared" ca="1" si="84"/>
        <v>1.04</v>
      </c>
      <c r="Y69" s="9">
        <f t="shared" ca="1" si="84"/>
        <v>1.0249999999999999</v>
      </c>
      <c r="Z69" s="9">
        <f t="shared" ca="1" si="84"/>
        <v>1.0034874609314008</v>
      </c>
      <c r="AA69" s="9">
        <f t="shared" ca="1" si="84"/>
        <v>1.0142945623481456</v>
      </c>
      <c r="AB69" s="9">
        <f t="shared" ca="1" si="84"/>
        <v>1</v>
      </c>
      <c r="AC69" s="9"/>
      <c r="AD69" s="9"/>
      <c r="AJ69" s="2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Z69" s="2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</row>
    <row r="70" spans="1:65">
      <c r="A70" s="2">
        <f>A18</f>
        <v>2013</v>
      </c>
      <c r="B70" s="9">
        <f t="shared" ref="B70:L70" ca="1" si="85">OFFSET(B40,($B$63-B$63)/12,0)</f>
        <v>1.3449984733541585</v>
      </c>
      <c r="C70" s="9">
        <f t="shared" ca="1" si="85"/>
        <v>1.1228935853272508</v>
      </c>
      <c r="D70" s="9">
        <f t="shared" ca="1" si="85"/>
        <v>1.0280090415151557</v>
      </c>
      <c r="E70" s="9">
        <f t="shared" ca="1" si="85"/>
        <v>0.99600050519934324</v>
      </c>
      <c r="F70" s="9">
        <f t="shared" ca="1" si="85"/>
        <v>0.99500231374363723</v>
      </c>
      <c r="G70" s="9">
        <f t="shared" ca="1" si="85"/>
        <v>0.99799753542821934</v>
      </c>
      <c r="H70" s="9">
        <f t="shared" ca="1" si="85"/>
        <v>0.99000417692894904</v>
      </c>
      <c r="I70" s="9">
        <f t="shared" ca="1" si="85"/>
        <v>1.0064509447083019</v>
      </c>
      <c r="J70" s="9">
        <f t="shared" ca="1" si="85"/>
        <v>1.0203050096311208</v>
      </c>
      <c r="K70" s="9">
        <f t="shared" ca="1" si="85"/>
        <v>1.0252089289641522</v>
      </c>
      <c r="L70" s="9">
        <f t="shared" ca="1" si="85"/>
        <v>1.0191762360670467</v>
      </c>
      <c r="M70" s="9"/>
      <c r="R70" s="2">
        <f>R18</f>
        <v>2013</v>
      </c>
      <c r="S70" s="9">
        <f t="shared" ref="S70:AC70" ca="1" si="86">OFFSET(S40,($B$63-S$63)/12,0)</f>
        <v>2.8849999999999998</v>
      </c>
      <c r="T70" s="9">
        <f t="shared" ca="1" si="86"/>
        <v>1.5620205733677401</v>
      </c>
      <c r="U70" s="9">
        <f t="shared" ca="1" si="86"/>
        <v>1.236</v>
      </c>
      <c r="V70" s="9">
        <f t="shared" ca="1" si="86"/>
        <v>1.117</v>
      </c>
      <c r="W70" s="9">
        <f t="shared" ca="1" si="86"/>
        <v>1.0609999999999999</v>
      </c>
      <c r="X70" s="9">
        <f t="shared" ca="1" si="86"/>
        <v>1.03</v>
      </c>
      <c r="Y70" s="9">
        <f t="shared" ca="1" si="86"/>
        <v>1.0169999999999999</v>
      </c>
      <c r="Z70" s="9">
        <f t="shared" ca="1" si="86"/>
        <v>1.0235685063169697</v>
      </c>
      <c r="AA70" s="9">
        <f t="shared" ca="1" si="86"/>
        <v>1.026335451930815</v>
      </c>
      <c r="AB70" s="9">
        <f t="shared" ca="1" si="86"/>
        <v>1.0353968223083039</v>
      </c>
      <c r="AC70" s="9">
        <f t="shared" ca="1" si="86"/>
        <v>1.0214604571587957</v>
      </c>
      <c r="AD70" s="9"/>
      <c r="AJ70" s="2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Z70" s="2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</row>
    <row r="71" spans="1:65">
      <c r="A71" s="2">
        <f>A19</f>
        <v>2014</v>
      </c>
      <c r="B71" s="9">
        <f t="shared" ref="B71:M71" ca="1" si="87">OFFSET(B41,($B$63-B$63)/12,0)</f>
        <v>1.5069946314268017</v>
      </c>
      <c r="C71" s="9">
        <f t="shared" ca="1" si="87"/>
        <v>1.1489889288583104</v>
      </c>
      <c r="D71" s="9">
        <f t="shared" ca="1" si="87"/>
        <v>1.009355222065611</v>
      </c>
      <c r="E71" s="9" t="e">
        <f ca="1">OFFSET(#REF!,($B$63-E$63)/12,0)</f>
        <v>#REF!</v>
      </c>
      <c r="F71" s="9">
        <f t="shared" ca="1" si="87"/>
        <v>1.0020007326626652</v>
      </c>
      <c r="G71" s="9">
        <f t="shared" ca="1" si="87"/>
        <v>0.99600037205841319</v>
      </c>
      <c r="H71" s="9">
        <f t="shared" ca="1" si="87"/>
        <v>0.98999565028273162</v>
      </c>
      <c r="I71" s="9">
        <f t="shared" ca="1" si="87"/>
        <v>0.99447152105914016</v>
      </c>
      <c r="J71" s="9">
        <f t="shared" ca="1" si="87"/>
        <v>0.98995927847933785</v>
      </c>
      <c r="K71" s="9">
        <f t="shared" ca="1" si="87"/>
        <v>0.99410921375746997</v>
      </c>
      <c r="L71" s="9">
        <f t="shared" ca="1" si="87"/>
        <v>0.99174107741399187</v>
      </c>
      <c r="M71" s="9">
        <f t="shared" ca="1" si="87"/>
        <v>0.99009641873278242</v>
      </c>
      <c r="N71">
        <v>1</v>
      </c>
      <c r="R71" s="2">
        <f>R19</f>
        <v>2014</v>
      </c>
      <c r="S71" s="9">
        <f t="shared" ref="S71:AD71" ca="1" si="88">OFFSET(S41,($B$63-S$63)/12,0)</f>
        <v>2.8690000000000007</v>
      </c>
      <c r="T71" s="9">
        <f t="shared" ca="1" si="88"/>
        <v>1.534</v>
      </c>
      <c r="U71" s="9">
        <f t="shared" ca="1" si="88"/>
        <v>1.2229790893455237</v>
      </c>
      <c r="V71" s="9">
        <f t="shared" ca="1" si="88"/>
        <v>1.115</v>
      </c>
      <c r="W71" s="9">
        <f t="shared" ca="1" si="88"/>
        <v>1.06</v>
      </c>
      <c r="X71" s="9">
        <f t="shared" ca="1" si="88"/>
        <v>1.0269999999999999</v>
      </c>
      <c r="Y71" s="9">
        <f t="shared" ca="1" si="88"/>
        <v>1.0149999999999999</v>
      </c>
      <c r="Z71" s="9">
        <f t="shared" ca="1" si="88"/>
        <v>1.0117219514927542</v>
      </c>
      <c r="AA71" s="9">
        <f t="shared" ca="1" si="88"/>
        <v>1.0109162963624072</v>
      </c>
      <c r="AB71" s="9">
        <f t="shared" ca="1" si="88"/>
        <v>1.0115206402835202</v>
      </c>
      <c r="AC71" s="9">
        <f t="shared" ca="1" si="88"/>
        <v>1.0193841443178828</v>
      </c>
      <c r="AD71" s="9">
        <f t="shared" ca="1" si="88"/>
        <v>1.0069986859403144</v>
      </c>
      <c r="AE71">
        <v>1.0000065</v>
      </c>
    </row>
  </sheetData>
  <mergeCells count="18">
    <mergeCell ref="B61:N61"/>
    <mergeCell ref="S61:AE61"/>
    <mergeCell ref="B62:N62"/>
    <mergeCell ref="S62:AE62"/>
    <mergeCell ref="B24:N24"/>
    <mergeCell ref="B25:N25"/>
    <mergeCell ref="S25:AE25"/>
    <mergeCell ref="B2:N2"/>
    <mergeCell ref="B3:N3"/>
    <mergeCell ref="S2:AE2"/>
    <mergeCell ref="S3:AE3"/>
    <mergeCell ref="S24:AE24"/>
    <mergeCell ref="AK24:AW24"/>
    <mergeCell ref="AK25:AW25"/>
    <mergeCell ref="AK60:AW60"/>
    <mergeCell ref="AK61:AW61"/>
    <mergeCell ref="BA60:BM60"/>
    <mergeCell ref="BA61:BM61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 tint="0.39997558519241921"/>
  </sheetPr>
  <dimension ref="A1:AJ71"/>
  <sheetViews>
    <sheetView topLeftCell="A38" workbookViewId="0">
      <selection activeCell="F97" sqref="F97"/>
    </sheetView>
  </sheetViews>
  <sheetFormatPr defaultColWidth="8.85546875" defaultRowHeight="12.95"/>
  <cols>
    <col min="1" max="1" width="12.28515625" bestFit="1" customWidth="1"/>
    <col min="14" max="14" width="9.42578125" bestFit="1" customWidth="1"/>
    <col min="15" max="15" width="9.42578125" customWidth="1"/>
    <col min="16" max="16" width="12.28515625" bestFit="1" customWidth="1"/>
    <col min="17" max="29" width="9.42578125" customWidth="1"/>
    <col min="32" max="32" width="9.42578125" bestFit="1" customWidth="1"/>
  </cols>
  <sheetData>
    <row r="1" spans="1:33" ht="12.75"/>
    <row r="2" spans="1:33" ht="12.75">
      <c r="A2" s="1" t="s">
        <v>71</v>
      </c>
      <c r="B2" s="104" t="s">
        <v>72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73"/>
      <c r="P2" s="1" t="s">
        <v>71</v>
      </c>
      <c r="Q2" s="105" t="s">
        <v>73</v>
      </c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</row>
    <row r="3" spans="1:33" ht="12.75">
      <c r="A3" t="s">
        <v>71</v>
      </c>
      <c r="B3" s="104" t="s">
        <v>104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73"/>
      <c r="P3" t="s">
        <v>71</v>
      </c>
      <c r="Q3" s="105" t="s">
        <v>104</v>
      </c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</row>
    <row r="4" spans="1:33" ht="12.75"/>
    <row r="5" spans="1:33" ht="12.75">
      <c r="A5" t="s">
        <v>44</v>
      </c>
      <c r="P5" t="s">
        <v>44</v>
      </c>
    </row>
    <row r="6" spans="1:33" ht="12.75">
      <c r="A6" s="12" t="s">
        <v>54</v>
      </c>
      <c r="B6">
        <v>12</v>
      </c>
      <c r="C6">
        <v>24</v>
      </c>
      <c r="D6">
        <v>36</v>
      </c>
      <c r="E6">
        <v>48</v>
      </c>
      <c r="F6">
        <v>60</v>
      </c>
      <c r="G6">
        <v>72</v>
      </c>
      <c r="H6">
        <v>84</v>
      </c>
      <c r="I6">
        <v>96</v>
      </c>
      <c r="J6">
        <v>108</v>
      </c>
      <c r="K6">
        <v>120</v>
      </c>
      <c r="L6">
        <v>132</v>
      </c>
      <c r="M6">
        <v>144</v>
      </c>
      <c r="N6">
        <v>156</v>
      </c>
      <c r="O6" s="84" t="s">
        <v>47</v>
      </c>
      <c r="P6" s="12" t="s">
        <v>54</v>
      </c>
      <c r="Q6">
        <v>12</v>
      </c>
      <c r="R6">
        <v>24</v>
      </c>
      <c r="S6">
        <v>36</v>
      </c>
      <c r="T6">
        <v>48</v>
      </c>
      <c r="U6">
        <v>60</v>
      </c>
      <c r="V6">
        <v>72</v>
      </c>
      <c r="W6">
        <v>84</v>
      </c>
      <c r="X6">
        <v>96</v>
      </c>
      <c r="Y6">
        <v>108</v>
      </c>
      <c r="Z6">
        <v>120</v>
      </c>
      <c r="AA6">
        <v>132</v>
      </c>
      <c r="AB6">
        <v>144</v>
      </c>
      <c r="AC6">
        <v>156</v>
      </c>
      <c r="AD6" s="84" t="s">
        <v>47</v>
      </c>
      <c r="AG6" s="5"/>
    </row>
    <row r="7" spans="1:33" ht="12.75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2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E7" t="s">
        <v>105</v>
      </c>
      <c r="AF7" s="5">
        <v>1115654</v>
      </c>
    </row>
    <row r="8" spans="1:33" ht="12.75">
      <c r="A8">
        <v>2003</v>
      </c>
      <c r="I8" s="5">
        <v>68262</v>
      </c>
      <c r="J8" s="5">
        <v>72178</v>
      </c>
      <c r="K8" s="5">
        <v>74888</v>
      </c>
      <c r="L8" s="5">
        <v>74074</v>
      </c>
      <c r="M8" s="5">
        <v>75563</v>
      </c>
      <c r="N8" s="5">
        <v>74815</v>
      </c>
      <c r="O8" s="85">
        <v>74815</v>
      </c>
      <c r="P8">
        <v>2003</v>
      </c>
      <c r="X8" s="5">
        <v>64887</v>
      </c>
      <c r="Y8" s="5">
        <v>67429</v>
      </c>
      <c r="Z8" s="5">
        <v>69896</v>
      </c>
      <c r="AA8" s="5">
        <v>70624</v>
      </c>
      <c r="AB8" s="5">
        <v>72994</v>
      </c>
      <c r="AC8" s="5">
        <v>74815</v>
      </c>
      <c r="AD8" s="85">
        <v>74815</v>
      </c>
      <c r="AE8" t="s">
        <v>86</v>
      </c>
      <c r="AF8" s="5">
        <v>1064910</v>
      </c>
    </row>
    <row r="9" spans="1:33" ht="12.75">
      <c r="A9">
        <v>2004</v>
      </c>
      <c r="H9" s="5">
        <v>73663</v>
      </c>
      <c r="I9" s="5">
        <v>73957</v>
      </c>
      <c r="J9" s="5">
        <v>76213</v>
      </c>
      <c r="K9" s="5">
        <v>76027</v>
      </c>
      <c r="L9" s="5">
        <v>77662</v>
      </c>
      <c r="M9" s="5">
        <v>76989</v>
      </c>
      <c r="N9" s="85">
        <v>77759</v>
      </c>
      <c r="O9" s="85">
        <v>78537</v>
      </c>
      <c r="P9">
        <v>2004</v>
      </c>
      <c r="W9" s="5">
        <v>69516</v>
      </c>
      <c r="X9" s="5">
        <v>69724</v>
      </c>
      <c r="Y9" s="5">
        <v>71554</v>
      </c>
      <c r="Z9" s="5">
        <v>71798</v>
      </c>
      <c r="AA9" s="5">
        <v>73621</v>
      </c>
      <c r="AB9" s="5">
        <v>74372</v>
      </c>
      <c r="AC9" s="85">
        <v>76227</v>
      </c>
      <c r="AD9" s="85">
        <v>78129</v>
      </c>
      <c r="AF9" s="5"/>
    </row>
    <row r="10" spans="1:33" ht="12.75">
      <c r="A10">
        <v>2005</v>
      </c>
      <c r="G10" s="5">
        <v>72589</v>
      </c>
      <c r="H10" s="5">
        <v>71790</v>
      </c>
      <c r="I10" s="5">
        <v>71360</v>
      </c>
      <c r="J10" s="5">
        <v>74329</v>
      </c>
      <c r="K10" s="5">
        <v>78580</v>
      </c>
      <c r="L10" s="5">
        <v>78953</v>
      </c>
      <c r="M10" s="85">
        <v>79378</v>
      </c>
      <c r="N10" s="85">
        <v>80172</v>
      </c>
      <c r="O10" s="85">
        <v>80974</v>
      </c>
      <c r="P10">
        <v>2005</v>
      </c>
      <c r="V10" s="5">
        <v>68244</v>
      </c>
      <c r="W10" s="5">
        <v>68585</v>
      </c>
      <c r="X10" s="5">
        <v>68928</v>
      </c>
      <c r="Y10" s="5">
        <v>70234</v>
      </c>
      <c r="Z10" s="5">
        <v>73194</v>
      </c>
      <c r="AA10" s="5">
        <v>75063</v>
      </c>
      <c r="AB10" s="85">
        <v>76687</v>
      </c>
      <c r="AC10" s="85">
        <v>78600</v>
      </c>
      <c r="AD10" s="85">
        <v>80561</v>
      </c>
    </row>
    <row r="11" spans="1:33" ht="12.75">
      <c r="A11">
        <v>2006</v>
      </c>
      <c r="F11" s="5">
        <v>76631</v>
      </c>
      <c r="G11" s="5">
        <v>76171</v>
      </c>
      <c r="H11" s="5">
        <v>75029</v>
      </c>
      <c r="I11" s="5">
        <v>75854</v>
      </c>
      <c r="J11" s="5">
        <v>78130</v>
      </c>
      <c r="K11" s="5">
        <v>78698</v>
      </c>
      <c r="L11" s="85">
        <v>79108</v>
      </c>
      <c r="M11" s="85">
        <v>79534</v>
      </c>
      <c r="N11" s="85">
        <v>80329</v>
      </c>
      <c r="O11" s="85">
        <v>81132</v>
      </c>
      <c r="P11">
        <v>2006</v>
      </c>
      <c r="U11" s="5">
        <v>69548</v>
      </c>
      <c r="V11" s="5">
        <v>70661</v>
      </c>
      <c r="W11" s="5">
        <v>71085</v>
      </c>
      <c r="X11" s="5">
        <v>71654</v>
      </c>
      <c r="Y11" s="5">
        <v>73177</v>
      </c>
      <c r="Z11" s="5">
        <v>73809</v>
      </c>
      <c r="AA11" s="85">
        <v>75327</v>
      </c>
      <c r="AB11" s="85">
        <v>76957</v>
      </c>
      <c r="AC11" s="85">
        <v>78877</v>
      </c>
      <c r="AD11" s="85">
        <v>80845</v>
      </c>
    </row>
    <row r="12" spans="1:33" ht="12.75">
      <c r="A12">
        <v>2007</v>
      </c>
      <c r="E12" s="5">
        <v>80418</v>
      </c>
      <c r="F12" s="5">
        <v>79292</v>
      </c>
      <c r="G12" s="5">
        <v>78420</v>
      </c>
      <c r="H12" s="5">
        <v>77087</v>
      </c>
      <c r="I12" s="5">
        <v>76856</v>
      </c>
      <c r="J12" s="5">
        <v>78151</v>
      </c>
      <c r="K12" s="85">
        <v>78558</v>
      </c>
      <c r="L12" s="85">
        <v>78967</v>
      </c>
      <c r="M12" s="85">
        <v>79392</v>
      </c>
      <c r="N12" s="85">
        <v>80186</v>
      </c>
      <c r="O12" s="85">
        <v>80988</v>
      </c>
      <c r="P12">
        <v>2007</v>
      </c>
      <c r="T12" s="5">
        <v>69857</v>
      </c>
      <c r="U12" s="5">
        <v>71394</v>
      </c>
      <c r="V12" s="5">
        <v>72036</v>
      </c>
      <c r="W12" s="5">
        <v>72252</v>
      </c>
      <c r="X12" s="5">
        <v>72469</v>
      </c>
      <c r="Y12" s="5">
        <v>73620</v>
      </c>
      <c r="Z12" s="85">
        <v>75264</v>
      </c>
      <c r="AA12" s="85">
        <v>76812</v>
      </c>
      <c r="AB12" s="85">
        <v>78473</v>
      </c>
      <c r="AC12" s="85">
        <v>80431</v>
      </c>
      <c r="AD12" s="85">
        <v>82438</v>
      </c>
    </row>
    <row r="13" spans="1:33" ht="12.75">
      <c r="A13">
        <v>2008</v>
      </c>
      <c r="D13" s="5">
        <v>79508</v>
      </c>
      <c r="E13" s="5">
        <v>79031</v>
      </c>
      <c r="F13" s="5">
        <v>77766</v>
      </c>
      <c r="G13" s="5">
        <v>76988</v>
      </c>
      <c r="H13" s="5">
        <v>75988</v>
      </c>
      <c r="I13" s="5">
        <v>75760</v>
      </c>
      <c r="J13" s="85">
        <v>77609</v>
      </c>
      <c r="K13" s="85">
        <v>78012</v>
      </c>
      <c r="L13" s="85">
        <v>78418</v>
      </c>
      <c r="M13" s="85">
        <v>78841</v>
      </c>
      <c r="N13" s="85">
        <v>79629</v>
      </c>
      <c r="O13" s="85">
        <v>80425</v>
      </c>
      <c r="P13">
        <v>2008</v>
      </c>
      <c r="S13" s="5">
        <v>65954</v>
      </c>
      <c r="T13" s="5">
        <v>69186</v>
      </c>
      <c r="U13" s="5">
        <v>70639</v>
      </c>
      <c r="V13" s="5">
        <v>71204</v>
      </c>
      <c r="W13" s="5">
        <v>71631</v>
      </c>
      <c r="X13" s="5">
        <v>71918</v>
      </c>
      <c r="Y13" s="85">
        <v>73523</v>
      </c>
      <c r="Z13" s="85">
        <v>75164</v>
      </c>
      <c r="AA13" s="85">
        <v>76710</v>
      </c>
      <c r="AB13" s="85">
        <v>78370</v>
      </c>
      <c r="AC13" s="85">
        <v>80325</v>
      </c>
      <c r="AD13" s="85">
        <v>82329</v>
      </c>
    </row>
    <row r="14" spans="1:33" ht="12.75">
      <c r="A14">
        <v>2009</v>
      </c>
      <c r="C14" s="5">
        <v>82756</v>
      </c>
      <c r="D14" s="5">
        <v>82839</v>
      </c>
      <c r="E14" s="5">
        <v>83088</v>
      </c>
      <c r="F14" s="5">
        <v>81758</v>
      </c>
      <c r="G14" s="5">
        <v>81104</v>
      </c>
      <c r="H14" s="5">
        <v>79969</v>
      </c>
      <c r="I14" s="85">
        <v>82329</v>
      </c>
      <c r="J14" s="85">
        <v>84338</v>
      </c>
      <c r="K14" s="85">
        <v>84777</v>
      </c>
      <c r="L14" s="85">
        <v>85218</v>
      </c>
      <c r="M14" s="85">
        <v>85677</v>
      </c>
      <c r="N14" s="85">
        <v>86534</v>
      </c>
      <c r="O14" s="85">
        <v>87399</v>
      </c>
      <c r="P14">
        <v>2009</v>
      </c>
      <c r="R14" s="5">
        <v>63478</v>
      </c>
      <c r="S14" s="5">
        <v>70968</v>
      </c>
      <c r="T14" s="5">
        <v>73736</v>
      </c>
      <c r="U14" s="5">
        <v>74916</v>
      </c>
      <c r="V14" s="5">
        <v>75365</v>
      </c>
      <c r="W14" s="5">
        <v>75516</v>
      </c>
      <c r="X14" s="85">
        <v>77330</v>
      </c>
      <c r="Y14" s="85">
        <v>79056</v>
      </c>
      <c r="Z14" s="85">
        <v>80821</v>
      </c>
      <c r="AA14" s="85">
        <v>82484</v>
      </c>
      <c r="AB14" s="85">
        <v>84268</v>
      </c>
      <c r="AC14" s="85">
        <v>86370</v>
      </c>
      <c r="AD14" s="85">
        <v>88525</v>
      </c>
    </row>
    <row r="15" spans="1:33" ht="12.75">
      <c r="A15">
        <v>2010</v>
      </c>
      <c r="B15" s="5">
        <v>66170</v>
      </c>
      <c r="C15" s="5">
        <v>81984</v>
      </c>
      <c r="D15" s="5">
        <v>83542</v>
      </c>
      <c r="E15" s="5">
        <v>82707</v>
      </c>
      <c r="F15" s="5">
        <v>80639</v>
      </c>
      <c r="G15" s="5">
        <v>79772</v>
      </c>
      <c r="H15" s="84">
        <v>79821.149999999994</v>
      </c>
      <c r="I15" s="85">
        <v>82177</v>
      </c>
      <c r="J15" s="85">
        <v>84183</v>
      </c>
      <c r="K15" s="85">
        <v>84621</v>
      </c>
      <c r="L15" s="85">
        <v>85061</v>
      </c>
      <c r="M15" s="85">
        <v>85519</v>
      </c>
      <c r="N15" s="85">
        <v>86374</v>
      </c>
      <c r="O15" s="85">
        <v>87238</v>
      </c>
      <c r="P15">
        <v>2010</v>
      </c>
      <c r="Q15" s="5">
        <v>32447</v>
      </c>
      <c r="R15" s="5">
        <v>62071</v>
      </c>
      <c r="S15" s="5">
        <v>69395</v>
      </c>
      <c r="T15" s="5">
        <v>72241</v>
      </c>
      <c r="U15" s="5">
        <v>73324</v>
      </c>
      <c r="V15" s="5">
        <v>73984</v>
      </c>
      <c r="W15" s="84">
        <v>74324.240000000005</v>
      </c>
      <c r="X15" s="85">
        <v>76110</v>
      </c>
      <c r="Y15" s="85">
        <v>77809</v>
      </c>
      <c r="Z15" s="85">
        <v>79545</v>
      </c>
      <c r="AA15" s="85">
        <v>81182</v>
      </c>
      <c r="AB15" s="85">
        <v>82938</v>
      </c>
      <c r="AC15" s="85">
        <v>85007</v>
      </c>
      <c r="AD15" s="85">
        <v>87128</v>
      </c>
    </row>
    <row r="16" spans="1:33" ht="12.75">
      <c r="A16">
        <v>2011</v>
      </c>
      <c r="B16" s="5">
        <v>67819</v>
      </c>
      <c r="C16" s="5">
        <v>85655</v>
      </c>
      <c r="D16" s="5">
        <v>86083</v>
      </c>
      <c r="E16" s="5">
        <v>83845</v>
      </c>
      <c r="F16" s="5">
        <v>83510</v>
      </c>
      <c r="G16" s="84">
        <v>83509.69</v>
      </c>
      <c r="H16" s="84">
        <v>83561.11</v>
      </c>
      <c r="I16" s="85">
        <v>86028</v>
      </c>
      <c r="J16" s="85">
        <v>88127</v>
      </c>
      <c r="K16" s="85">
        <v>88586</v>
      </c>
      <c r="L16" s="85">
        <v>89047</v>
      </c>
      <c r="M16" s="85">
        <v>89526</v>
      </c>
      <c r="N16" s="85">
        <v>90422</v>
      </c>
      <c r="O16" s="85">
        <v>91326</v>
      </c>
      <c r="P16">
        <v>2011</v>
      </c>
      <c r="Q16" s="5">
        <v>33009</v>
      </c>
      <c r="R16" s="5">
        <v>64598</v>
      </c>
      <c r="S16" s="5">
        <v>71963</v>
      </c>
      <c r="T16" s="5">
        <v>74625</v>
      </c>
      <c r="U16" s="5">
        <v>75968</v>
      </c>
      <c r="V16" s="84">
        <v>76299.73</v>
      </c>
      <c r="W16" s="84">
        <v>76650.559999999998</v>
      </c>
      <c r="X16" s="85">
        <v>78492</v>
      </c>
      <c r="Y16" s="85">
        <v>80244</v>
      </c>
      <c r="Z16" s="85">
        <v>82035</v>
      </c>
      <c r="AA16" s="85">
        <v>83722</v>
      </c>
      <c r="AB16" s="85">
        <v>85534</v>
      </c>
      <c r="AC16" s="85">
        <v>87668</v>
      </c>
      <c r="AD16" s="85">
        <v>89855</v>
      </c>
    </row>
    <row r="17" spans="1:36" ht="12.75">
      <c r="A17">
        <v>2012</v>
      </c>
      <c r="B17" s="5">
        <v>70617</v>
      </c>
      <c r="C17" s="5">
        <v>96201</v>
      </c>
      <c r="D17" s="5">
        <v>101672</v>
      </c>
      <c r="E17" s="5">
        <v>99409</v>
      </c>
      <c r="F17" s="84">
        <v>101574.7</v>
      </c>
      <c r="G17" s="84">
        <v>101574.7</v>
      </c>
      <c r="H17" s="84">
        <v>101637.2</v>
      </c>
      <c r="I17" s="85">
        <v>104637</v>
      </c>
      <c r="J17" s="85">
        <v>107191</v>
      </c>
      <c r="K17" s="85">
        <v>107749</v>
      </c>
      <c r="L17" s="85">
        <v>108310</v>
      </c>
      <c r="M17" s="85">
        <v>108893</v>
      </c>
      <c r="N17" s="85">
        <v>109982</v>
      </c>
      <c r="O17" s="85">
        <v>111082</v>
      </c>
      <c r="P17">
        <v>2012</v>
      </c>
      <c r="Q17" s="5">
        <v>34991</v>
      </c>
      <c r="R17" s="5">
        <v>71657</v>
      </c>
      <c r="S17" s="5">
        <v>81323</v>
      </c>
      <c r="T17" s="5">
        <v>88999</v>
      </c>
      <c r="U17" s="84">
        <v>89846.97</v>
      </c>
      <c r="V17" s="84">
        <v>90238.83</v>
      </c>
      <c r="W17" s="84">
        <v>90653.75</v>
      </c>
      <c r="X17" s="85">
        <v>92831</v>
      </c>
      <c r="Y17" s="85">
        <v>94904</v>
      </c>
      <c r="Z17" s="85">
        <v>97022</v>
      </c>
      <c r="AA17" s="85">
        <v>99018</v>
      </c>
      <c r="AB17" s="85">
        <v>101160</v>
      </c>
      <c r="AC17" s="85">
        <v>103684</v>
      </c>
      <c r="AD17" s="85">
        <v>106271</v>
      </c>
    </row>
    <row r="18" spans="1:36" ht="12.75">
      <c r="A18">
        <v>2013</v>
      </c>
      <c r="B18" s="5">
        <v>65449</v>
      </c>
      <c r="C18" s="5">
        <v>80633</v>
      </c>
      <c r="D18" s="5">
        <v>82729</v>
      </c>
      <c r="E18" s="84">
        <v>82729.5</v>
      </c>
      <c r="F18" s="84">
        <v>84532.2</v>
      </c>
      <c r="G18" s="84">
        <v>84532.2</v>
      </c>
      <c r="H18" s="84">
        <v>84584.25</v>
      </c>
      <c r="I18" s="85">
        <v>87081</v>
      </c>
      <c r="J18" s="85">
        <v>89206</v>
      </c>
      <c r="K18" s="85">
        <v>89670</v>
      </c>
      <c r="L18" s="85">
        <v>90137</v>
      </c>
      <c r="M18" s="85">
        <v>90622</v>
      </c>
      <c r="N18" s="85">
        <v>91529</v>
      </c>
      <c r="O18" s="85">
        <v>92444</v>
      </c>
      <c r="P18">
        <v>2013</v>
      </c>
      <c r="Q18" s="5">
        <v>31785</v>
      </c>
      <c r="R18" s="5">
        <v>62331</v>
      </c>
      <c r="S18" s="5">
        <v>69375</v>
      </c>
      <c r="T18" s="84">
        <v>70647.179999999993</v>
      </c>
      <c r="U18" s="84">
        <v>71320.600000000006</v>
      </c>
      <c r="V18" s="84">
        <v>71631.66</v>
      </c>
      <c r="W18" s="84">
        <v>71961.02</v>
      </c>
      <c r="X18" s="85">
        <v>73690</v>
      </c>
      <c r="Y18" s="85">
        <v>75335</v>
      </c>
      <c r="Z18" s="85">
        <v>77016</v>
      </c>
      <c r="AA18" s="85">
        <v>78600</v>
      </c>
      <c r="AB18" s="85">
        <v>80301</v>
      </c>
      <c r="AC18" s="85">
        <v>82304</v>
      </c>
      <c r="AD18" s="85">
        <v>84358</v>
      </c>
    </row>
    <row r="19" spans="1:36" ht="12.75">
      <c r="A19">
        <v>2014</v>
      </c>
      <c r="B19" s="5">
        <v>63580</v>
      </c>
      <c r="C19" s="5">
        <v>84816</v>
      </c>
      <c r="D19" s="84">
        <v>84816.005999999994</v>
      </c>
      <c r="E19" s="84">
        <v>84816.01</v>
      </c>
      <c r="F19" s="84">
        <v>86664.18</v>
      </c>
      <c r="G19" s="84">
        <v>86664.18</v>
      </c>
      <c r="H19" s="84">
        <v>86717.54</v>
      </c>
      <c r="I19" s="85">
        <v>89277</v>
      </c>
      <c r="J19" s="85">
        <v>91456</v>
      </c>
      <c r="K19" s="85">
        <v>91932</v>
      </c>
      <c r="L19" s="85">
        <v>92410</v>
      </c>
      <c r="M19" s="85">
        <v>92908</v>
      </c>
      <c r="N19" s="85">
        <v>93837</v>
      </c>
      <c r="O19" s="85">
        <v>94775</v>
      </c>
      <c r="P19">
        <v>2014</v>
      </c>
      <c r="Q19" s="5">
        <v>33131</v>
      </c>
      <c r="R19" s="5">
        <v>64406</v>
      </c>
      <c r="S19" s="84">
        <v>67841.735000000001</v>
      </c>
      <c r="T19" s="84">
        <v>69086.05</v>
      </c>
      <c r="U19" s="84">
        <v>69744.58</v>
      </c>
      <c r="V19" s="84">
        <v>70048.77</v>
      </c>
      <c r="W19" s="84">
        <v>70370.86</v>
      </c>
      <c r="X19" s="85">
        <v>72061</v>
      </c>
      <c r="Y19" s="85">
        <v>73670</v>
      </c>
      <c r="Z19" s="85">
        <v>75314</v>
      </c>
      <c r="AA19" s="85">
        <v>76863</v>
      </c>
      <c r="AB19" s="85">
        <v>78526</v>
      </c>
      <c r="AC19" s="85">
        <v>80485</v>
      </c>
      <c r="AD19" s="85">
        <v>82494</v>
      </c>
    </row>
    <row r="20" spans="1:36" ht="12.75">
      <c r="A20">
        <v>2015</v>
      </c>
      <c r="B20" s="5">
        <v>66114</v>
      </c>
      <c r="C20" s="84">
        <v>66687.73</v>
      </c>
      <c r="D20" s="84">
        <v>66687.731</v>
      </c>
      <c r="E20" s="84">
        <v>66687.73</v>
      </c>
      <c r="F20" s="84">
        <v>68140.88</v>
      </c>
      <c r="G20" s="84">
        <v>68140.88</v>
      </c>
      <c r="H20" s="84">
        <v>68182.84</v>
      </c>
      <c r="I20" s="85">
        <v>70195</v>
      </c>
      <c r="J20" s="85">
        <v>71909</v>
      </c>
      <c r="K20" s="85">
        <v>72283</v>
      </c>
      <c r="L20" s="85">
        <v>72659</v>
      </c>
      <c r="M20" s="85">
        <v>73050</v>
      </c>
      <c r="N20" s="85">
        <v>73781</v>
      </c>
      <c r="O20" s="85">
        <v>74518</v>
      </c>
      <c r="P20">
        <v>2015</v>
      </c>
      <c r="Q20" s="5">
        <v>32877</v>
      </c>
      <c r="R20" s="84">
        <v>36820.97</v>
      </c>
      <c r="S20" s="84">
        <v>38785.173000000003</v>
      </c>
      <c r="T20" s="84">
        <v>39496.550000000003</v>
      </c>
      <c r="U20" s="84">
        <v>39873.03</v>
      </c>
      <c r="V20" s="84">
        <v>40046.93</v>
      </c>
      <c r="W20" s="84">
        <v>40231.07</v>
      </c>
      <c r="X20" s="85">
        <v>41198</v>
      </c>
      <c r="Y20" s="85">
        <v>42117</v>
      </c>
      <c r="Z20" s="85">
        <v>43057</v>
      </c>
      <c r="AA20" s="85">
        <v>43943</v>
      </c>
      <c r="AB20" s="85">
        <v>44894</v>
      </c>
      <c r="AC20" s="85">
        <v>46014</v>
      </c>
      <c r="AD20" s="85">
        <v>47162</v>
      </c>
    </row>
    <row r="21" spans="1:36" ht="12.75"/>
    <row r="24" spans="1:36">
      <c r="A24" s="1" t="s">
        <v>71</v>
      </c>
      <c r="B24" s="104" t="s">
        <v>88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71"/>
      <c r="P24" s="1" t="s">
        <v>71</v>
      </c>
      <c r="Q24" s="104" t="s">
        <v>89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</row>
    <row r="25" spans="1:36" ht="12.75">
      <c r="A25" s="2" t="s">
        <v>71</v>
      </c>
      <c r="B25" s="104" t="s">
        <v>106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71"/>
      <c r="P25" s="2" t="s">
        <v>71</v>
      </c>
      <c r="Q25" s="104" t="s">
        <v>106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</row>
    <row r="26" spans="1:36">
      <c r="A26" s="2"/>
      <c r="B26" s="2">
        <v>12</v>
      </c>
      <c r="C26" s="2">
        <v>24</v>
      </c>
      <c r="D26" s="2">
        <v>36</v>
      </c>
      <c r="E26" s="2">
        <v>48</v>
      </c>
      <c r="F26" s="2">
        <v>60</v>
      </c>
      <c r="G26" s="2">
        <v>72</v>
      </c>
      <c r="H26" s="2">
        <v>84</v>
      </c>
      <c r="I26" s="2">
        <v>96</v>
      </c>
      <c r="J26" s="2">
        <v>108</v>
      </c>
      <c r="K26" s="2">
        <v>120</v>
      </c>
      <c r="L26" s="2">
        <v>132</v>
      </c>
      <c r="M26" s="2">
        <v>144</v>
      </c>
      <c r="N26" s="2">
        <v>156</v>
      </c>
      <c r="O26" s="2"/>
      <c r="P26" s="2"/>
      <c r="Q26" s="2">
        <v>12</v>
      </c>
      <c r="R26" s="2">
        <v>24</v>
      </c>
      <c r="S26" s="2">
        <v>36</v>
      </c>
      <c r="T26" s="2">
        <v>48</v>
      </c>
      <c r="U26" s="2">
        <v>60</v>
      </c>
      <c r="V26" s="2">
        <v>72</v>
      </c>
      <c r="W26" s="2">
        <v>84</v>
      </c>
      <c r="X26" s="2">
        <v>96</v>
      </c>
      <c r="Y26" s="2">
        <v>108</v>
      </c>
      <c r="Z26" s="2">
        <v>120</v>
      </c>
      <c r="AA26" s="2">
        <v>132</v>
      </c>
      <c r="AB26" s="2">
        <v>144</v>
      </c>
      <c r="AC26" s="2">
        <v>156</v>
      </c>
    </row>
    <row r="27" spans="1:36" ht="12.75">
      <c r="A27" s="2" t="s">
        <v>44</v>
      </c>
      <c r="B27" s="2" t="s">
        <v>95</v>
      </c>
      <c r="C27" s="2" t="s">
        <v>95</v>
      </c>
      <c r="D27" s="2" t="s">
        <v>95</v>
      </c>
      <c r="E27" s="2" t="s">
        <v>95</v>
      </c>
      <c r="F27" s="2" t="s">
        <v>95</v>
      </c>
      <c r="G27" s="2" t="s">
        <v>95</v>
      </c>
      <c r="H27" s="2" t="s">
        <v>95</v>
      </c>
      <c r="I27" s="2" t="s">
        <v>95</v>
      </c>
      <c r="J27" s="2" t="s">
        <v>95</v>
      </c>
      <c r="K27" s="2" t="s">
        <v>95</v>
      </c>
      <c r="L27" s="2" t="s">
        <v>95</v>
      </c>
      <c r="M27" s="2" t="s">
        <v>95</v>
      </c>
      <c r="N27" s="2" t="s">
        <v>95</v>
      </c>
      <c r="O27" s="2"/>
      <c r="P27" s="2" t="s">
        <v>44</v>
      </c>
      <c r="Q27" s="2" t="s">
        <v>95</v>
      </c>
      <c r="R27" s="2" t="s">
        <v>95</v>
      </c>
      <c r="S27" s="2" t="s">
        <v>95</v>
      </c>
      <c r="T27" s="2" t="s">
        <v>95</v>
      </c>
      <c r="U27" s="2" t="s">
        <v>95</v>
      </c>
      <c r="V27" s="2" t="s">
        <v>95</v>
      </c>
      <c r="W27" s="2" t="s">
        <v>95</v>
      </c>
      <c r="X27" s="2" t="s">
        <v>95</v>
      </c>
      <c r="Y27" s="2" t="s">
        <v>95</v>
      </c>
      <c r="Z27" s="2" t="s">
        <v>95</v>
      </c>
      <c r="AA27" s="2" t="s">
        <v>95</v>
      </c>
      <c r="AB27" s="2" t="s">
        <v>95</v>
      </c>
      <c r="AC27" s="2" t="s">
        <v>95</v>
      </c>
    </row>
    <row r="28" spans="1:36">
      <c r="A28" s="3" t="s">
        <v>54</v>
      </c>
      <c r="B28" s="4">
        <v>24</v>
      </c>
      <c r="C28" s="4">
        <v>36</v>
      </c>
      <c r="D28" s="4">
        <v>48</v>
      </c>
      <c r="E28" s="4">
        <v>60</v>
      </c>
      <c r="F28" s="4">
        <v>72</v>
      </c>
      <c r="G28" s="4">
        <v>84</v>
      </c>
      <c r="H28" s="4">
        <v>96</v>
      </c>
      <c r="I28" s="4">
        <v>108</v>
      </c>
      <c r="J28" s="4">
        <v>120</v>
      </c>
      <c r="K28" s="4">
        <v>132</v>
      </c>
      <c r="L28" s="4">
        <v>144</v>
      </c>
      <c r="M28" s="4">
        <v>156</v>
      </c>
      <c r="N28" s="4" t="s">
        <v>47</v>
      </c>
      <c r="O28" s="4"/>
      <c r="P28" s="3" t="s">
        <v>54</v>
      </c>
      <c r="Q28" s="4">
        <v>24</v>
      </c>
      <c r="R28" s="4">
        <v>36</v>
      </c>
      <c r="S28" s="4">
        <v>48</v>
      </c>
      <c r="T28" s="4">
        <v>60</v>
      </c>
      <c r="U28" s="4">
        <v>72</v>
      </c>
      <c r="V28" s="4">
        <v>84</v>
      </c>
      <c r="W28" s="4">
        <v>96</v>
      </c>
      <c r="X28" s="4">
        <v>108</v>
      </c>
      <c r="Y28" s="4">
        <v>120</v>
      </c>
      <c r="Z28" s="4">
        <v>132</v>
      </c>
      <c r="AA28" s="4">
        <v>144</v>
      </c>
      <c r="AB28" s="4">
        <v>156</v>
      </c>
      <c r="AC28" s="4" t="s">
        <v>47</v>
      </c>
    </row>
    <row r="29" spans="1:36">
      <c r="A29" s="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3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36">
      <c r="A30" s="2">
        <f t="shared" ref="A30:A40" si="0">A8</f>
        <v>2003</v>
      </c>
      <c r="B30" s="8"/>
      <c r="C30" s="8"/>
      <c r="D30" s="8"/>
      <c r="E30" s="8"/>
      <c r="F30" s="8"/>
      <c r="G30" s="8"/>
      <c r="H30" s="8"/>
      <c r="I30" s="8">
        <f t="shared" ref="I30:J34" si="1">IFERROR(J8/I8,1)</f>
        <v>1.0573672028361314</v>
      </c>
      <c r="J30" s="8">
        <f t="shared" si="1"/>
        <v>1.0375460666685139</v>
      </c>
      <c r="K30" s="8">
        <f t="shared" ref="K30:M30" si="2">IFERROR(L8/K8,1)</f>
        <v>0.98913043478260865</v>
      </c>
      <c r="L30" s="8">
        <f t="shared" si="2"/>
        <v>1.02010152010152</v>
      </c>
      <c r="M30" s="8">
        <f t="shared" si="2"/>
        <v>0.99010097534507624</v>
      </c>
      <c r="N30" s="8"/>
      <c r="O30" s="8"/>
      <c r="P30" s="2">
        <f t="shared" ref="P30:P40" si="3">P8</f>
        <v>2003</v>
      </c>
      <c r="Q30" s="8"/>
      <c r="R30" s="8"/>
      <c r="S30" s="8"/>
      <c r="T30" s="8"/>
      <c r="U30" s="8"/>
      <c r="V30" s="8"/>
      <c r="W30" s="8"/>
      <c r="X30" s="8">
        <f t="shared" ref="X30:AA30" si="4">IFERROR(Y8/X8,1)</f>
        <v>1.0391757979256246</v>
      </c>
      <c r="Y30" s="8">
        <f t="shared" si="4"/>
        <v>1.036586631864628</v>
      </c>
      <c r="Z30" s="8">
        <f t="shared" si="4"/>
        <v>1.0104154744191369</v>
      </c>
      <c r="AA30" s="8">
        <f t="shared" si="4"/>
        <v>1.0335579972813775</v>
      </c>
      <c r="AB30" s="8">
        <f>IFERROR(AC8/AB8,1)</f>
        <v>1.0249472559388444</v>
      </c>
      <c r="AC30" s="8"/>
      <c r="AE30" s="8"/>
      <c r="AF30" s="8"/>
      <c r="AG30" s="8"/>
      <c r="AH30" s="8"/>
      <c r="AI30" s="8"/>
      <c r="AJ30" s="8"/>
    </row>
    <row r="31" spans="1:36">
      <c r="A31" s="2">
        <f t="shared" si="0"/>
        <v>2004</v>
      </c>
      <c r="B31" s="8"/>
      <c r="C31" s="8"/>
      <c r="D31" s="8"/>
      <c r="E31" s="8"/>
      <c r="F31" s="8"/>
      <c r="G31" s="8"/>
      <c r="H31" s="8">
        <f t="shared" ref="H31:H35" si="5">IFERROR(I9/H9,1)</f>
        <v>1.0039911488807136</v>
      </c>
      <c r="I31" s="8">
        <f t="shared" si="1"/>
        <v>1.030504211906919</v>
      </c>
      <c r="J31" s="8">
        <f t="shared" si="1"/>
        <v>0.99755947148124335</v>
      </c>
      <c r="K31" s="8">
        <f t="shared" ref="K31:L31" si="6">IFERROR(L9/K9,1)</f>
        <v>1.0215055177765793</v>
      </c>
      <c r="L31" s="8">
        <f t="shared" si="6"/>
        <v>0.99133424325925168</v>
      </c>
      <c r="M31" s="8"/>
      <c r="N31" s="8"/>
      <c r="O31" s="8"/>
      <c r="P31" s="2">
        <f t="shared" si="3"/>
        <v>2004</v>
      </c>
      <c r="Q31" s="8"/>
      <c r="R31" s="8"/>
      <c r="S31" s="8"/>
      <c r="T31" s="8"/>
      <c r="U31" s="8"/>
      <c r="V31" s="8"/>
      <c r="W31" s="8">
        <f t="shared" ref="W31:AA35" si="7">IFERROR(X9/W9,1)</f>
        <v>1.0029921169227227</v>
      </c>
      <c r="X31" s="8">
        <f t="shared" si="7"/>
        <v>1.0262463427227353</v>
      </c>
      <c r="Y31" s="8">
        <f t="shared" si="7"/>
        <v>1.0034100120188949</v>
      </c>
      <c r="Z31" s="8">
        <f t="shared" si="7"/>
        <v>1.0253906794061116</v>
      </c>
      <c r="AA31" s="8">
        <f t="shared" si="7"/>
        <v>1.0102008937667242</v>
      </c>
      <c r="AB31" s="8"/>
      <c r="AC31" s="8"/>
      <c r="AE31" s="8"/>
      <c r="AF31" s="8"/>
      <c r="AG31" s="8"/>
      <c r="AH31" s="8"/>
      <c r="AI31" s="8"/>
      <c r="AJ31" s="8"/>
    </row>
    <row r="32" spans="1:36" ht="12.75">
      <c r="A32" s="2">
        <f t="shared" si="0"/>
        <v>2005</v>
      </c>
      <c r="B32" s="8"/>
      <c r="C32" s="8"/>
      <c r="D32" s="8"/>
      <c r="E32" s="8"/>
      <c r="F32" s="8"/>
      <c r="G32" s="8">
        <f>IFERROR(H10/G10,1)</f>
        <v>0.98899282260397581</v>
      </c>
      <c r="H32" s="8">
        <f t="shared" si="5"/>
        <v>0.99401030784231792</v>
      </c>
      <c r="I32" s="8">
        <f t="shared" si="1"/>
        <v>1.041605941704036</v>
      </c>
      <c r="J32" s="8">
        <f t="shared" si="1"/>
        <v>1.0571916748510002</v>
      </c>
      <c r="K32" s="8">
        <f t="shared" ref="K32" si="8">IFERROR(L10/K10,1)</f>
        <v>1.0047467548994655</v>
      </c>
      <c r="L32" s="8"/>
      <c r="M32" s="8"/>
      <c r="N32" s="8"/>
      <c r="O32" s="8"/>
      <c r="P32" s="2">
        <f t="shared" si="3"/>
        <v>2005</v>
      </c>
      <c r="Q32" s="8"/>
      <c r="R32" s="8"/>
      <c r="S32" s="8"/>
      <c r="T32" s="8"/>
      <c r="U32" s="8"/>
      <c r="V32" s="8">
        <f>IFERROR(W10/V10,1)</f>
        <v>1.004996776273372</v>
      </c>
      <c r="W32" s="8">
        <f t="shared" si="7"/>
        <v>1.0050010935335716</v>
      </c>
      <c r="X32" s="8">
        <f t="shared" si="7"/>
        <v>1.0189473073351902</v>
      </c>
      <c r="Y32" s="8">
        <f t="shared" si="7"/>
        <v>1.0421448301392489</v>
      </c>
      <c r="Z32" s="8">
        <f t="shared" si="7"/>
        <v>1.0255348799081891</v>
      </c>
      <c r="AA32" s="8"/>
      <c r="AB32" s="8"/>
      <c r="AC32" s="8"/>
      <c r="AE32" s="8"/>
      <c r="AF32" s="8"/>
      <c r="AG32" s="8"/>
      <c r="AH32" s="8"/>
      <c r="AI32" s="8"/>
      <c r="AJ32" s="8"/>
    </row>
    <row r="33" spans="1:36">
      <c r="A33" s="2">
        <f t="shared" si="0"/>
        <v>2006</v>
      </c>
      <c r="B33" s="8"/>
      <c r="C33" s="8"/>
      <c r="D33" s="8"/>
      <c r="E33" s="8"/>
      <c r="F33" s="8">
        <f>IFERROR(G11/F11,1)</f>
        <v>0.99399720739648445</v>
      </c>
      <c r="G33" s="8">
        <f>IFERROR(H11/G11,1)</f>
        <v>0.98500741752110388</v>
      </c>
      <c r="H33" s="8">
        <f t="shared" si="5"/>
        <v>1.0109957483106533</v>
      </c>
      <c r="I33" s="8">
        <f t="shared" si="1"/>
        <v>1.030005009623751</v>
      </c>
      <c r="J33" s="8">
        <f t="shared" si="1"/>
        <v>1.0072699347241776</v>
      </c>
      <c r="K33" s="8"/>
      <c r="L33" s="8"/>
      <c r="M33" s="8"/>
      <c r="N33" s="8"/>
      <c r="O33" s="8"/>
      <c r="P33" s="2">
        <f t="shared" si="3"/>
        <v>2006</v>
      </c>
      <c r="Q33" s="8"/>
      <c r="R33" s="8"/>
      <c r="S33" s="8"/>
      <c r="T33" s="8"/>
      <c r="U33" s="8">
        <f>IFERROR(V11/U11,1)</f>
        <v>1.0160033358256169</v>
      </c>
      <c r="V33" s="8">
        <f>IFERROR(W11/V11,1)</f>
        <v>1.00600048117066</v>
      </c>
      <c r="W33" s="8">
        <f t="shared" si="7"/>
        <v>1.0080045016529506</v>
      </c>
      <c r="X33" s="8">
        <f t="shared" si="7"/>
        <v>1.0212549194741396</v>
      </c>
      <c r="Y33" s="8">
        <f t="shared" si="7"/>
        <v>1.0086365934651598</v>
      </c>
      <c r="Z33" s="8"/>
      <c r="AA33" s="8"/>
      <c r="AB33" s="8"/>
      <c r="AC33" s="8"/>
      <c r="AE33" s="8"/>
      <c r="AF33" s="8"/>
      <c r="AG33" s="8"/>
      <c r="AH33" s="8"/>
      <c r="AI33" s="8"/>
      <c r="AJ33" s="8"/>
    </row>
    <row r="34" spans="1:36" ht="12.75">
      <c r="A34" s="2">
        <f t="shared" si="0"/>
        <v>2007</v>
      </c>
      <c r="B34" s="8"/>
      <c r="C34" s="8"/>
      <c r="D34" s="8"/>
      <c r="E34" s="8">
        <f>IFERROR(F12/E12,1)</f>
        <v>0.98599815961600634</v>
      </c>
      <c r="F34" s="8">
        <f>IFERROR(G12/F12,1)</f>
        <v>0.98900267366190786</v>
      </c>
      <c r="G34" s="8">
        <f>IFERROR(H12/G12,1)</f>
        <v>0.9830017852588625</v>
      </c>
      <c r="H34" s="8">
        <f t="shared" si="5"/>
        <v>0.99700338578489245</v>
      </c>
      <c r="I34" s="8">
        <f t="shared" si="1"/>
        <v>1.0168496929322368</v>
      </c>
      <c r="J34" s="8"/>
      <c r="K34" s="8"/>
      <c r="L34" s="8"/>
      <c r="M34" s="8"/>
      <c r="N34" s="8"/>
      <c r="O34" s="8"/>
      <c r="P34" s="2">
        <f t="shared" si="3"/>
        <v>2007</v>
      </c>
      <c r="Q34" s="8"/>
      <c r="R34" s="8"/>
      <c r="S34" s="8"/>
      <c r="T34" s="8">
        <f>IFERROR(U12/T12,1)</f>
        <v>1.022002089983824</v>
      </c>
      <c r="U34" s="8">
        <f>IFERROR(V12/U12,1)</f>
        <v>1.0089923522985125</v>
      </c>
      <c r="V34" s="8">
        <f>IFERROR(W12/V12,1)</f>
        <v>1.0029985007496252</v>
      </c>
      <c r="W34" s="8">
        <f t="shared" si="7"/>
        <v>1.0030033770691469</v>
      </c>
      <c r="X34" s="8">
        <f t="shared" si="7"/>
        <v>1.0158826532724337</v>
      </c>
      <c r="Y34" s="8"/>
      <c r="Z34" s="8"/>
      <c r="AA34" s="8"/>
      <c r="AB34" s="8"/>
      <c r="AC34" s="8"/>
      <c r="AE34" s="8"/>
      <c r="AF34" s="8"/>
      <c r="AG34" s="8"/>
      <c r="AH34" s="8"/>
      <c r="AI34" s="8"/>
      <c r="AJ34" s="8"/>
    </row>
    <row r="35" spans="1:36">
      <c r="A35" s="2">
        <f t="shared" si="0"/>
        <v>2008</v>
      </c>
      <c r="B35" s="8"/>
      <c r="C35" s="8"/>
      <c r="D35" s="8">
        <f>IFERROR(E13/D13,1)</f>
        <v>0.99400060371283394</v>
      </c>
      <c r="E35" s="8">
        <f>IFERROR(F13/E13,1)</f>
        <v>0.98399362275562752</v>
      </c>
      <c r="F35" s="8">
        <f>IFERROR(G13/F13,1)</f>
        <v>0.98999562790936912</v>
      </c>
      <c r="G35" s="8">
        <f>IFERROR(H13/G13,1)</f>
        <v>0.98701096274744116</v>
      </c>
      <c r="H35" s="8">
        <f t="shared" si="5"/>
        <v>0.99699952624098542</v>
      </c>
      <c r="I35" s="8"/>
      <c r="J35" s="8"/>
      <c r="K35" s="8"/>
      <c r="L35" s="8"/>
      <c r="M35" s="8"/>
      <c r="N35" s="8"/>
      <c r="P35" s="2">
        <f t="shared" si="3"/>
        <v>2008</v>
      </c>
      <c r="Q35" s="8"/>
      <c r="R35" s="8"/>
      <c r="S35" s="8">
        <f>IFERROR(T13/S13,1)</f>
        <v>1.0490038511689965</v>
      </c>
      <c r="T35" s="8">
        <f>IFERROR(U13/T13,1)</f>
        <v>1.0210013586563755</v>
      </c>
      <c r="U35" s="8">
        <f>IFERROR(V13/U13,1)</f>
        <v>1.0079984144735912</v>
      </c>
      <c r="V35" s="8">
        <f>IFERROR(W13/V13,1)</f>
        <v>1.0059968541093196</v>
      </c>
      <c r="W35" s="8">
        <f t="shared" si="7"/>
        <v>1.0040066451675951</v>
      </c>
      <c r="X35" s="8"/>
      <c r="Y35" s="8"/>
      <c r="Z35" s="8"/>
      <c r="AA35" s="8"/>
      <c r="AB35" s="8"/>
      <c r="AC35" s="8"/>
      <c r="AE35" s="8"/>
      <c r="AF35" s="8"/>
      <c r="AG35" s="8"/>
      <c r="AH35" s="8"/>
      <c r="AI35" s="8"/>
      <c r="AJ35" s="8"/>
    </row>
    <row r="36" spans="1:36">
      <c r="A36" s="2">
        <f t="shared" si="0"/>
        <v>2009</v>
      </c>
      <c r="B36" s="8"/>
      <c r="C36" s="8">
        <f>IFERROR(D14/C14,1)</f>
        <v>1.0010029484267002</v>
      </c>
      <c r="D36" s="8">
        <f>IFERROR(E14/D14,1)</f>
        <v>1.0030058305870424</v>
      </c>
      <c r="E36" s="8">
        <f>IFERROR(F14/E14,1)</f>
        <v>0.98399287502407085</v>
      </c>
      <c r="F36" s="8">
        <f>IFERROR(G14/F14,1)</f>
        <v>0.99200078279801363</v>
      </c>
      <c r="G36" s="8">
        <f>IFERROR(H14/G14,1)</f>
        <v>0.98600562241073186</v>
      </c>
      <c r="H36" s="8"/>
      <c r="I36" s="8"/>
      <c r="J36" s="8"/>
      <c r="K36" s="8"/>
      <c r="L36" s="8"/>
      <c r="M36" s="8"/>
      <c r="N36" s="8"/>
      <c r="P36" s="2">
        <f t="shared" si="3"/>
        <v>2009</v>
      </c>
      <c r="Q36" s="8"/>
      <c r="R36" s="8">
        <f>IFERROR(S14/R14,1)</f>
        <v>1.1179936355902833</v>
      </c>
      <c r="S36" s="8">
        <f>IFERROR(T14/S14,1)</f>
        <v>1.0390034945327471</v>
      </c>
      <c r="T36" s="8">
        <f>IFERROR(U14/T14,1)</f>
        <v>1.0160030378648151</v>
      </c>
      <c r="U36" s="8">
        <f>IFERROR(V14/U14,1)</f>
        <v>1.0059933792514282</v>
      </c>
      <c r="V36" s="8">
        <f>IFERROR(W14/V14,1)</f>
        <v>1.002003582564851</v>
      </c>
      <c r="W36" s="8"/>
      <c r="X36" s="8"/>
      <c r="Y36" s="8"/>
      <c r="Z36" s="8"/>
      <c r="AA36" s="8"/>
      <c r="AB36" s="8"/>
      <c r="AC36" s="8"/>
      <c r="AE36" s="8"/>
      <c r="AF36" s="8"/>
      <c r="AG36" s="8"/>
      <c r="AH36" s="8"/>
      <c r="AI36" s="8"/>
      <c r="AJ36" s="8"/>
    </row>
    <row r="37" spans="1:36">
      <c r="A37" s="2">
        <f t="shared" si="0"/>
        <v>2010</v>
      </c>
      <c r="B37" s="8">
        <f>IFERROR(C15/B15,1)</f>
        <v>1.2389904790690645</v>
      </c>
      <c r="C37" s="8">
        <f>IFERROR(D15/C15,1)</f>
        <v>1.0190037080405934</v>
      </c>
      <c r="D37" s="8">
        <f>IFERROR(E15/D15,1)</f>
        <v>0.99000502741136198</v>
      </c>
      <c r="E37" s="8">
        <f>IFERROR(F15/E15,1)</f>
        <v>0.97499607046561965</v>
      </c>
      <c r="F37" s="8">
        <f>IFERROR(G15/F15,1)</f>
        <v>0.98924837857612324</v>
      </c>
      <c r="G37" s="8"/>
      <c r="H37" s="8"/>
      <c r="I37" s="8"/>
      <c r="J37" s="8"/>
      <c r="K37" s="8"/>
      <c r="L37" s="8"/>
      <c r="M37" s="8"/>
      <c r="N37" s="8"/>
      <c r="P37" s="2">
        <f t="shared" si="3"/>
        <v>2010</v>
      </c>
      <c r="Q37" s="8">
        <f>IFERROR(R15/Q15,1)</f>
        <v>1.9129965790365828</v>
      </c>
      <c r="R37" s="8">
        <f>IFERROR(S15/R15,1)</f>
        <v>1.1179939101996101</v>
      </c>
      <c r="S37" s="8">
        <f>IFERROR(T15/S15,1)</f>
        <v>1.0410116002593848</v>
      </c>
      <c r="T37" s="8">
        <f>IFERROR(U15/T15,1)</f>
        <v>1.014991486828809</v>
      </c>
      <c r="U37" s="8">
        <f>IFERROR(V15/U15,1)</f>
        <v>1.0090011456003491</v>
      </c>
      <c r="V37" s="8"/>
      <c r="W37" s="8"/>
      <c r="X37" s="8"/>
      <c r="Y37" s="8"/>
      <c r="Z37" s="8"/>
      <c r="AA37" s="8"/>
      <c r="AB37" s="8"/>
      <c r="AC37" s="8"/>
      <c r="AE37" s="8"/>
      <c r="AF37" s="8"/>
      <c r="AG37" s="8"/>
      <c r="AH37" s="8"/>
      <c r="AI37" s="8"/>
      <c r="AJ37" s="8"/>
    </row>
    <row r="38" spans="1:36">
      <c r="A38" s="2">
        <f t="shared" si="0"/>
        <v>2011</v>
      </c>
      <c r="B38" s="8">
        <f>IFERROR(C16/B16,1)</f>
        <v>1.262994146183223</v>
      </c>
      <c r="C38" s="8">
        <f>IFERROR(D16/C16,1)</f>
        <v>1.0049967894460334</v>
      </c>
      <c r="D38" s="8">
        <f>IFERROR(E16/D16,1)</f>
        <v>0.97400183543789132</v>
      </c>
      <c r="E38" s="8">
        <f>IFERROR(F16/E16,1)</f>
        <v>0.9960045321724611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2">
        <f t="shared" si="3"/>
        <v>2011</v>
      </c>
      <c r="Q38" s="8">
        <f>IFERROR(R16/Q16,1)</f>
        <v>1.9569814293071586</v>
      </c>
      <c r="R38" s="8">
        <f>IFERROR(S16/R16,1)</f>
        <v>1.1140128177342952</v>
      </c>
      <c r="S38" s="8">
        <f>IFERROR(T16/S16,1)</f>
        <v>1.0369912316051304</v>
      </c>
      <c r="T38" s="8">
        <f>IFERROR(U16/T16,1)</f>
        <v>1.0179966499162478</v>
      </c>
      <c r="U38" s="8"/>
      <c r="V38" s="8"/>
      <c r="W38" s="8"/>
      <c r="X38" s="8"/>
      <c r="Y38" s="8"/>
      <c r="Z38" s="8"/>
      <c r="AA38" s="8"/>
      <c r="AB38" s="8"/>
      <c r="AC38" s="8"/>
      <c r="AE38" s="8"/>
      <c r="AF38" s="8"/>
      <c r="AG38" s="8"/>
      <c r="AH38" s="8"/>
      <c r="AI38" s="8"/>
      <c r="AJ38" s="8"/>
    </row>
    <row r="39" spans="1:36" ht="12.75">
      <c r="A39" s="2">
        <f t="shared" si="0"/>
        <v>2012</v>
      </c>
      <c r="B39" s="8">
        <f>IFERROR(C17/B17,1)</f>
        <v>1.3622923658609116</v>
      </c>
      <c r="C39" s="8">
        <f>IFERROR(D17/C17,1)</f>
        <v>1.0568705107015519</v>
      </c>
      <c r="D39" s="8">
        <f>IFERROR(E17/D17,1)</f>
        <v>0.97774215123141084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2">
        <f t="shared" si="3"/>
        <v>2012</v>
      </c>
      <c r="Q39" s="8">
        <f>IFERROR(R17/Q17,1)</f>
        <v>2.0478694521448371</v>
      </c>
      <c r="R39" s="8">
        <f>IFERROR(S17/R17,1)</f>
        <v>1.1348926134222757</v>
      </c>
      <c r="S39" s="8">
        <f>IFERROR(T17/S17,1)</f>
        <v>1.0943890412306481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E39" s="8"/>
      <c r="AF39" s="8"/>
      <c r="AG39" s="8"/>
      <c r="AH39" s="8"/>
      <c r="AI39" s="8"/>
      <c r="AJ39" s="8"/>
    </row>
    <row r="40" spans="1:36">
      <c r="A40" s="2">
        <f t="shared" si="0"/>
        <v>2013</v>
      </c>
      <c r="B40" s="8">
        <f>IFERROR(C18/B18,1)</f>
        <v>1.2319974331158612</v>
      </c>
      <c r="C40" s="8">
        <f>IFERROR(D18/C18,1)</f>
        <v>1.0259943199434474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2">
        <f t="shared" si="3"/>
        <v>2013</v>
      </c>
      <c r="Q40" s="8">
        <f>IFERROR(R18/Q18,1)</f>
        <v>1.9610193487494101</v>
      </c>
      <c r="R40" s="8">
        <f>IFERROR(S18/R18,1)</f>
        <v>1.113009577898638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E40" s="8"/>
      <c r="AF40" s="8"/>
      <c r="AG40" s="8"/>
      <c r="AH40" s="8"/>
      <c r="AI40" s="8"/>
      <c r="AJ40" s="8"/>
    </row>
    <row r="41" spans="1:36" ht="12.75">
      <c r="A41" s="2">
        <f>A19</f>
        <v>2014</v>
      </c>
      <c r="B41" s="8">
        <f>IFERROR(C19/B19,1)</f>
        <v>1.3340044039005976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2">
        <f>P19</f>
        <v>2014</v>
      </c>
      <c r="Q41" s="8">
        <f>IFERROR(R19/Q19,1)</f>
        <v>1.9439799583471673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E41" s="8"/>
      <c r="AF41" s="8"/>
      <c r="AG41" s="8"/>
      <c r="AH41" s="8"/>
      <c r="AI41" s="8"/>
      <c r="AJ41" s="8"/>
    </row>
    <row r="42" spans="1:36" ht="12.75">
      <c r="B42" s="2"/>
      <c r="C42" s="2"/>
      <c r="H42" s="2"/>
      <c r="I42" s="2"/>
      <c r="J42" s="2"/>
      <c r="K42" s="2"/>
      <c r="L42" s="2"/>
      <c r="M42" s="2"/>
      <c r="N42" s="2"/>
      <c r="O42" s="2"/>
      <c r="Q42" s="2"/>
      <c r="R42" s="2"/>
      <c r="W42" s="2"/>
      <c r="X42" s="2"/>
      <c r="Y42" s="2"/>
      <c r="Z42" s="2"/>
      <c r="AA42" s="2"/>
      <c r="AB42" s="2"/>
      <c r="AC42" s="2"/>
    </row>
    <row r="43" spans="1:36" ht="12.75">
      <c r="A43" s="10" t="s">
        <v>96</v>
      </c>
      <c r="P43" s="10" t="s">
        <v>96</v>
      </c>
    </row>
    <row r="44" spans="1:36" ht="12.75">
      <c r="A44" s="11" t="s">
        <v>97</v>
      </c>
      <c r="B44" s="8">
        <f>AVERAGE(B40:B41)</f>
        <v>1.2830009185082294</v>
      </c>
      <c r="C44" s="8">
        <f>AVERAGE(C39:C40)</f>
        <v>1.0414324153224996</v>
      </c>
      <c r="D44" s="8">
        <f>AVERAGE(D38:D39)</f>
        <v>0.97587199333465113</v>
      </c>
      <c r="E44" s="8">
        <f>AVERAGE(E37:E38)</f>
        <v>0.98550030131904043</v>
      </c>
      <c r="F44" s="8">
        <f>AVERAGE(F36:F37)</f>
        <v>0.99062458068706838</v>
      </c>
      <c r="G44" s="8">
        <f>AVERAGE(G35:G36)</f>
        <v>0.98650829257908645</v>
      </c>
      <c r="H44" s="8">
        <f>AVERAGE(H34:H35)</f>
        <v>0.99700145601293899</v>
      </c>
      <c r="I44" s="8">
        <f>AVERAGE(I33:I34)</f>
        <v>1.0234273512779939</v>
      </c>
      <c r="J44" s="8">
        <f>AVERAGE(J32:J33)</f>
        <v>1.0322308047875888</v>
      </c>
      <c r="K44" s="8">
        <f>AVERAGE(K31:K32)</f>
        <v>1.0131261363380224</v>
      </c>
      <c r="L44" s="8">
        <f>AVERAGE(L30:L31)</f>
        <v>1.0057178816803858</v>
      </c>
      <c r="M44" s="64">
        <f>M$48</f>
        <v>0.99010097534507624</v>
      </c>
      <c r="N44" s="8"/>
      <c r="O44" s="8"/>
      <c r="P44" s="11" t="s">
        <v>97</v>
      </c>
      <c r="Q44" s="8">
        <f>AVERAGE(Q40:Q41)</f>
        <v>1.9524996535482888</v>
      </c>
      <c r="R44" s="8">
        <f>AVERAGE(R39:R40)</f>
        <v>1.1239510956604568</v>
      </c>
      <c r="S44" s="8">
        <f>AVERAGE(S38:S39)</f>
        <v>1.0656901364178892</v>
      </c>
      <c r="T44" s="8">
        <f>AVERAGE(T37:T38)</f>
        <v>1.0164940683725283</v>
      </c>
      <c r="U44" s="8">
        <f>AVERAGE(U36:U37)</f>
        <v>1.0074972624258887</v>
      </c>
      <c r="V44" s="8">
        <f>AVERAGE(V35:V36)</f>
        <v>1.0040002183370853</v>
      </c>
      <c r="W44" s="8">
        <f>AVERAGE(W34:W35)</f>
        <v>1.003505011118371</v>
      </c>
      <c r="X44" s="8">
        <f>AVERAGE(X34:X35)</f>
        <v>1.0158826532724337</v>
      </c>
      <c r="Y44" s="8">
        <f>AVERAGE(Y32:Y33)</f>
        <v>1.0253907118022043</v>
      </c>
      <c r="Z44" s="8">
        <f>AVERAGE(Z31:Z32)</f>
        <v>1.0254627796571505</v>
      </c>
      <c r="AA44" s="8">
        <f>AVERAGE(AA30:AA31)</f>
        <v>1.0218794455240507</v>
      </c>
      <c r="AB44" s="64">
        <f>AB$48</f>
        <v>1.0249472559388444</v>
      </c>
      <c r="AC44" s="8"/>
    </row>
    <row r="45" spans="1:36" ht="12.75">
      <c r="A45" s="11" t="s">
        <v>98</v>
      </c>
      <c r="B45" s="8">
        <f>AVERAGE(B39:B41)</f>
        <v>1.3094314009591235</v>
      </c>
      <c r="C45" s="8">
        <f>AVERAGE(C38:C40)</f>
        <v>1.0292872066970109</v>
      </c>
      <c r="D45" s="8">
        <f>AVERAGE(D37:D39)</f>
        <v>0.98058300469355475</v>
      </c>
      <c r="E45" s="8">
        <f>AVERAGE(E36:E38)</f>
        <v>0.98499782588738383</v>
      </c>
      <c r="F45" s="8">
        <f>AVERAGE(F35:F37)</f>
        <v>0.99041492976116874</v>
      </c>
      <c r="G45" s="8">
        <f>AVERAGE(G34:G36)</f>
        <v>0.98533945680567847</v>
      </c>
      <c r="H45" s="8">
        <f>AVERAGE(H33:H35)</f>
        <v>1.0016662201121769</v>
      </c>
      <c r="I45" s="8">
        <f>AVERAGE(I32:I34)</f>
        <v>1.0294868814200078</v>
      </c>
      <c r="J45" s="8">
        <f>AVERAGE(J31:J33)</f>
        <v>1.0206736936854737</v>
      </c>
      <c r="K45" s="8">
        <f>AVERAGE(K30:K32)</f>
        <v>1.0051275691528845</v>
      </c>
      <c r="L45" s="64">
        <f t="shared" ref="L45:M47" si="9">L$48</f>
        <v>1.0057178816803858</v>
      </c>
      <c r="M45" s="64">
        <f t="shared" si="9"/>
        <v>0.99010097534507624</v>
      </c>
      <c r="N45" s="8"/>
      <c r="O45" s="8"/>
      <c r="P45" s="11" t="s">
        <v>98</v>
      </c>
      <c r="Q45" s="8">
        <f>AVERAGE(Q39:Q41)</f>
        <v>1.984289586413805</v>
      </c>
      <c r="R45" s="8">
        <f>AVERAGE(R38:R40)</f>
        <v>1.1206383363517363</v>
      </c>
      <c r="S45" s="8">
        <f>AVERAGE(S37:S39)</f>
        <v>1.0574639576983877</v>
      </c>
      <c r="T45" s="8">
        <f>AVERAGE(T36:T38)</f>
        <v>1.0163303915366242</v>
      </c>
      <c r="U45" s="8">
        <f>AVERAGE(U35:U37)</f>
        <v>1.0076643131084562</v>
      </c>
      <c r="V45" s="8">
        <f>AVERAGE(V34:V36)</f>
        <v>1.0036663124745984</v>
      </c>
      <c r="W45" s="8">
        <f>AVERAGE(W33:W35)</f>
        <v>1.0050048412965642</v>
      </c>
      <c r="X45" s="8">
        <f>AVERAGE(X33:X35)</f>
        <v>1.0185687863732866</v>
      </c>
      <c r="Y45" s="8">
        <f>AVERAGE(Y31:Y33)</f>
        <v>1.0180638118744345</v>
      </c>
      <c r="Z45" s="8">
        <f>AVERAGE(Z30:Z32)</f>
        <v>1.0204470112444792</v>
      </c>
      <c r="AA45" s="64">
        <f t="shared" ref="AA45:AB47" si="10">AA$48</f>
        <v>1.0218794455240507</v>
      </c>
      <c r="AB45" s="64">
        <f t="shared" si="10"/>
        <v>1.0249472559388444</v>
      </c>
      <c r="AC45" s="8"/>
    </row>
    <row r="46" spans="1:36">
      <c r="A46" s="11" t="s">
        <v>99</v>
      </c>
      <c r="B46" s="8">
        <f>AVERAGE(B38:B41)</f>
        <v>1.2978220872651485</v>
      </c>
      <c r="C46" s="8">
        <f>AVERAGE(C37:C40)</f>
        <v>1.0267163320329067</v>
      </c>
      <c r="D46" s="8">
        <f>AVERAGE(D36:D39)</f>
        <v>0.98618871116692652</v>
      </c>
      <c r="E46" s="8">
        <f>AVERAGE(E35:E38)</f>
        <v>0.98474677510444475</v>
      </c>
      <c r="F46" s="8">
        <f>AVERAGE(F34:F37)</f>
        <v>0.99006186573635346</v>
      </c>
      <c r="G46" s="8">
        <f>AVERAGE(G33:G36)</f>
        <v>0.98525644698453485</v>
      </c>
      <c r="H46" s="8">
        <f>AVERAGE(H32:H35)</f>
        <v>0.99975224204471225</v>
      </c>
      <c r="I46" s="8">
        <f>AVERAGE(I31:I34)</f>
        <v>1.0297412140417357</v>
      </c>
      <c r="J46" s="8">
        <f>AVERAGE(J30:J33)</f>
        <v>1.0248917869312337</v>
      </c>
      <c r="K46" s="64">
        <f t="shared" ref="K46:K47" si="11">K$48</f>
        <v>1.0051275691528845</v>
      </c>
      <c r="L46" s="64">
        <f t="shared" si="9"/>
        <v>1.0057178816803858</v>
      </c>
      <c r="M46" s="64">
        <f t="shared" si="9"/>
        <v>0.99010097534507624</v>
      </c>
      <c r="N46" s="8"/>
      <c r="O46" s="8"/>
      <c r="P46" s="11" t="s">
        <v>99</v>
      </c>
      <c r="Q46" s="8">
        <f>AVERAGE(Q38:Q41)</f>
        <v>1.9774625471371432</v>
      </c>
      <c r="R46" s="8">
        <f>AVERAGE(R37:R40)</f>
        <v>1.1199772298137047</v>
      </c>
      <c r="S46" s="8">
        <f>AVERAGE(S36:S39)</f>
        <v>1.0528488419069775</v>
      </c>
      <c r="T46" s="8">
        <f>AVERAGE(T35:T38)</f>
        <v>1.0174981333165618</v>
      </c>
      <c r="U46" s="8">
        <f>AVERAGE(U34:U37)</f>
        <v>1.0079963229059703</v>
      </c>
      <c r="V46" s="8">
        <f>AVERAGE(V33:V36)</f>
        <v>1.0042498546486138</v>
      </c>
      <c r="W46" s="8">
        <f>AVERAGE(W32:W35)</f>
        <v>1.0050039043558161</v>
      </c>
      <c r="X46" s="8">
        <f>AVERAGE(X32:X35)</f>
        <v>1.0186949600272543</v>
      </c>
      <c r="Y46" s="8">
        <f>AVERAGE(Y30:Y33)</f>
        <v>1.022694516871983</v>
      </c>
      <c r="Z46" s="64">
        <f t="shared" ref="Z46:Z47" si="12">Z$48</f>
        <v>1.0204470112444792</v>
      </c>
      <c r="AA46" s="64">
        <f t="shared" si="10"/>
        <v>1.0218794455240507</v>
      </c>
      <c r="AB46" s="64">
        <f t="shared" si="10"/>
        <v>1.0249472559388444</v>
      </c>
      <c r="AC46" s="8"/>
    </row>
    <row r="47" spans="1:36" ht="12.75">
      <c r="A47" s="11" t="s">
        <v>100</v>
      </c>
      <c r="B47" s="8">
        <f>AVERAGE(B37:B41)</f>
        <v>1.2860557656259315</v>
      </c>
      <c r="C47" s="8">
        <f>AVERAGE(C36:C40)</f>
        <v>1.0215736553116652</v>
      </c>
      <c r="D47" s="8">
        <f>AVERAGE(D35:D39)</f>
        <v>0.98775108967610803</v>
      </c>
      <c r="E47" s="8">
        <f>AVERAGE(E34:E38)</f>
        <v>0.98499705200675702</v>
      </c>
      <c r="F47" s="8">
        <f>AVERAGE(F33:F37)</f>
        <v>0.99084893406837971</v>
      </c>
      <c r="G47" s="8">
        <f>AVERAGE(G32:G36)</f>
        <v>0.98600372210842302</v>
      </c>
      <c r="H47" s="8">
        <f>AVERAGE(H31:H35)</f>
        <v>1.0006000234119126</v>
      </c>
      <c r="I47" s="8">
        <f>AVERAGE(I30:I34)</f>
        <v>1.0352664118006147</v>
      </c>
      <c r="J47" s="64">
        <f>J$48</f>
        <v>1.0248917869312337</v>
      </c>
      <c r="K47" s="64">
        <f t="shared" si="11"/>
        <v>1.0051275691528845</v>
      </c>
      <c r="L47" s="64">
        <f t="shared" si="9"/>
        <v>1.0057178816803858</v>
      </c>
      <c r="M47" s="64">
        <f t="shared" si="9"/>
        <v>0.99010097534507624</v>
      </c>
      <c r="N47" s="8"/>
      <c r="O47" s="8"/>
      <c r="P47" s="11" t="s">
        <v>100</v>
      </c>
      <c r="Q47" s="8">
        <f>AVERAGE(Q37:Q41)</f>
        <v>1.9645693535170312</v>
      </c>
      <c r="R47" s="8">
        <f>AVERAGE(R36:R40)</f>
        <v>1.1195805109690204</v>
      </c>
      <c r="S47" s="8">
        <f>AVERAGE(S35:S39)</f>
        <v>1.0520798437593812</v>
      </c>
      <c r="T47" s="8">
        <f>AVERAGE(T34:T38)</f>
        <v>1.0183989246500142</v>
      </c>
      <c r="U47" s="8">
        <f>AVERAGE(U33:U37)</f>
        <v>1.0095977254898996</v>
      </c>
      <c r="V47" s="8">
        <f>AVERAGE(V32:V36)</f>
        <v>1.0043992389735654</v>
      </c>
      <c r="W47" s="8">
        <f>AVERAGE(W31:W35)</f>
        <v>1.0046015468691976</v>
      </c>
      <c r="X47" s="8">
        <f>AVERAGE(X30:X34)</f>
        <v>1.0243014041460248</v>
      </c>
      <c r="Y47" s="64">
        <f>Y$48</f>
        <v>1.022694516871983</v>
      </c>
      <c r="Z47" s="64">
        <f t="shared" si="12"/>
        <v>1.0204470112444792</v>
      </c>
      <c r="AA47" s="64">
        <f t="shared" si="10"/>
        <v>1.0218794455240507</v>
      </c>
      <c r="AB47" s="64">
        <f t="shared" si="10"/>
        <v>1.0249472559388444</v>
      </c>
      <c r="AC47" s="8"/>
    </row>
    <row r="48" spans="1:36" ht="12.75">
      <c r="A48" t="s">
        <v>101</v>
      </c>
      <c r="B48" s="8">
        <f t="shared" ref="B48:M48" si="13">AVERAGE(B30:B42)</f>
        <v>1.2860557656259315</v>
      </c>
      <c r="C48" s="8">
        <f t="shared" si="13"/>
        <v>1.0215736553116652</v>
      </c>
      <c r="D48" s="8">
        <f t="shared" si="13"/>
        <v>0.98775108967610803</v>
      </c>
      <c r="E48" s="8">
        <f t="shared" si="13"/>
        <v>0.98499705200675702</v>
      </c>
      <c r="F48" s="8">
        <f t="shared" si="13"/>
        <v>0.99084893406837971</v>
      </c>
      <c r="G48" s="8">
        <f t="shared" si="13"/>
        <v>0.98600372210842302</v>
      </c>
      <c r="H48" s="8">
        <f t="shared" si="13"/>
        <v>1.0006000234119126</v>
      </c>
      <c r="I48" s="8">
        <f t="shared" si="13"/>
        <v>1.0352664118006147</v>
      </c>
      <c r="J48" s="8">
        <f t="shared" si="13"/>
        <v>1.0248917869312337</v>
      </c>
      <c r="K48" s="8">
        <f t="shared" si="13"/>
        <v>1.0051275691528845</v>
      </c>
      <c r="L48" s="8">
        <f t="shared" si="13"/>
        <v>1.0057178816803858</v>
      </c>
      <c r="M48" s="8">
        <f t="shared" si="13"/>
        <v>0.99010097534507624</v>
      </c>
      <c r="O48" s="8"/>
      <c r="P48" t="s">
        <v>101</v>
      </c>
      <c r="Q48" s="8">
        <f t="shared" ref="Q48:AB48" si="14">AVERAGE(Q30:Q42)</f>
        <v>1.9645693535170312</v>
      </c>
      <c r="R48" s="8">
        <f t="shared" si="14"/>
        <v>1.1195805109690204</v>
      </c>
      <c r="S48" s="8">
        <f t="shared" si="14"/>
        <v>1.0520798437593812</v>
      </c>
      <c r="T48" s="8">
        <f t="shared" si="14"/>
        <v>1.0183989246500142</v>
      </c>
      <c r="U48" s="8">
        <f t="shared" si="14"/>
        <v>1.0095977254898996</v>
      </c>
      <c r="V48" s="8">
        <f t="shared" si="14"/>
        <v>1.0043992389735654</v>
      </c>
      <c r="W48" s="8">
        <f t="shared" si="14"/>
        <v>1.0046015468691976</v>
      </c>
      <c r="X48" s="8">
        <f t="shared" si="14"/>
        <v>1.0243014041460248</v>
      </c>
      <c r="Y48" s="8">
        <f t="shared" si="14"/>
        <v>1.022694516871983</v>
      </c>
      <c r="Z48" s="8">
        <f t="shared" si="14"/>
        <v>1.0204470112444792</v>
      </c>
      <c r="AA48" s="8">
        <f t="shared" si="14"/>
        <v>1.0218794455240507</v>
      </c>
      <c r="AB48" s="8">
        <f t="shared" si="14"/>
        <v>1.0249472559388444</v>
      </c>
      <c r="AC48" s="8"/>
    </row>
    <row r="49" spans="1:30" ht="12.75">
      <c r="A49" s="83" t="s">
        <v>46</v>
      </c>
      <c r="B49" s="82">
        <v>1.2869999999999999</v>
      </c>
      <c r="C49" s="82">
        <v>1.0089999999999999</v>
      </c>
      <c r="D49" s="82">
        <v>1</v>
      </c>
      <c r="E49" s="82">
        <v>1</v>
      </c>
      <c r="F49" s="82">
        <v>1.022</v>
      </c>
      <c r="G49" s="82">
        <v>1</v>
      </c>
      <c r="H49" s="82">
        <v>1.0009999999999999</v>
      </c>
      <c r="I49" s="82">
        <v>1.03</v>
      </c>
      <c r="J49" s="82">
        <v>1.024</v>
      </c>
      <c r="K49" s="82">
        <v>1.0049999999999999</v>
      </c>
      <c r="L49" s="82">
        <v>1.0049999999999999</v>
      </c>
      <c r="M49" s="82">
        <v>1.01</v>
      </c>
      <c r="N49" s="82">
        <v>1</v>
      </c>
      <c r="O49" s="8"/>
      <c r="P49" s="86" t="s">
        <v>46</v>
      </c>
      <c r="Q49" s="89">
        <v>1.966</v>
      </c>
      <c r="R49" s="89">
        <v>1.1200000000000001</v>
      </c>
      <c r="S49" s="89">
        <v>1.0529999999999999</v>
      </c>
      <c r="T49" s="89">
        <v>1.018</v>
      </c>
      <c r="U49" s="89">
        <v>1.01</v>
      </c>
      <c r="V49" s="89">
        <v>1.004</v>
      </c>
      <c r="W49" s="89">
        <v>1.0049999999999999</v>
      </c>
      <c r="X49" s="89">
        <v>1.024</v>
      </c>
      <c r="Y49" s="89">
        <v>1.022</v>
      </c>
      <c r="Z49" s="89">
        <v>1.0209999999999999</v>
      </c>
      <c r="AA49" s="89">
        <v>1.022</v>
      </c>
      <c r="AB49" s="89">
        <v>1.0249999999999999</v>
      </c>
      <c r="AC49" s="82">
        <v>1</v>
      </c>
    </row>
    <row r="50" spans="1:30" ht="12.75"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Q50" s="8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30" ht="12.75">
      <c r="A51" s="12" t="s">
        <v>102</v>
      </c>
      <c r="B51" s="8" t="s">
        <v>71</v>
      </c>
      <c r="C51" s="8" t="s">
        <v>71</v>
      </c>
      <c r="D51" s="8" t="s">
        <v>71</v>
      </c>
      <c r="E51" s="8" t="s">
        <v>71</v>
      </c>
      <c r="F51" s="8" t="s">
        <v>71</v>
      </c>
      <c r="G51" s="8" t="s">
        <v>71</v>
      </c>
      <c r="H51" s="8" t="s">
        <v>71</v>
      </c>
      <c r="I51" s="8" t="s">
        <v>71</v>
      </c>
      <c r="J51" s="8" t="s">
        <v>71</v>
      </c>
      <c r="K51" s="8" t="s">
        <v>71</v>
      </c>
      <c r="L51" s="8" t="s">
        <v>71</v>
      </c>
      <c r="M51" s="8" t="s">
        <v>71</v>
      </c>
      <c r="N51" s="8" t="s">
        <v>71</v>
      </c>
      <c r="O51" s="8"/>
      <c r="P51" s="12" t="s">
        <v>102</v>
      </c>
      <c r="Q51" s="8" t="s">
        <v>71</v>
      </c>
      <c r="R51" s="8" t="s">
        <v>71</v>
      </c>
      <c r="S51" s="8" t="s">
        <v>71</v>
      </c>
      <c r="T51" s="8" t="s">
        <v>71</v>
      </c>
      <c r="U51" s="8" t="s">
        <v>71</v>
      </c>
      <c r="V51" s="8" t="s">
        <v>71</v>
      </c>
      <c r="W51" s="8" t="s">
        <v>71</v>
      </c>
      <c r="X51" s="8" t="s">
        <v>71</v>
      </c>
      <c r="Y51" s="8" t="s">
        <v>71</v>
      </c>
      <c r="Z51" s="8" t="s">
        <v>71</v>
      </c>
      <c r="AA51" s="8" t="s">
        <v>71</v>
      </c>
      <c r="AB51" s="8" t="s">
        <v>71</v>
      </c>
      <c r="AC51" s="8" t="s">
        <v>71</v>
      </c>
    </row>
    <row r="52" spans="1:30">
      <c r="A52" s="11" t="str">
        <f>A44</f>
        <v>2 Year</v>
      </c>
      <c r="B52" s="8">
        <f t="shared" ref="B52:M56" si="15">C52*B44</f>
        <v>1.3343394361596226</v>
      </c>
      <c r="C52" s="8">
        <f t="shared" si="15"/>
        <v>1.0400144044410238</v>
      </c>
      <c r="D52" s="8">
        <f t="shared" si="15"/>
        <v>0.99863840335617282</v>
      </c>
      <c r="E52" s="8">
        <f t="shared" si="15"/>
        <v>1.0233292995157353</v>
      </c>
      <c r="F52" s="8">
        <f t="shared" si="15"/>
        <v>1.0383855775042004</v>
      </c>
      <c r="G52" s="8">
        <f t="shared" si="15"/>
        <v>1.0482130140400983</v>
      </c>
      <c r="H52" s="8">
        <f>I52*H44</f>
        <v>1.0625486089931322</v>
      </c>
      <c r="I52" s="8">
        <f t="shared" ref="I52:M52" si="16">J52*I44</f>
        <v>1.0657442901260341</v>
      </c>
      <c r="J52" s="8">
        <f t="shared" si="16"/>
        <v>1.0413482586675034</v>
      </c>
      <c r="K52" s="8">
        <f t="shared" si="16"/>
        <v>1.0088327667006516</v>
      </c>
      <c r="L52" s="8">
        <f t="shared" si="16"/>
        <v>0.99576225557373399</v>
      </c>
      <c r="M52" s="8">
        <f t="shared" si="16"/>
        <v>0.99010097534507624</v>
      </c>
      <c r="N52" s="19">
        <v>1</v>
      </c>
      <c r="O52" s="8"/>
      <c r="P52" s="11" t="str">
        <f>P44</f>
        <v>2 Year</v>
      </c>
      <c r="Q52" s="8">
        <f t="shared" ref="Q52:AB56" si="17">R52*Q44</f>
        <v>2.6997615583738579</v>
      </c>
      <c r="R52" s="8">
        <f t="shared" si="17"/>
        <v>1.382720633761735</v>
      </c>
      <c r="S52" s="8">
        <f t="shared" si="17"/>
        <v>1.2302320261979192</v>
      </c>
      <c r="T52" s="8">
        <f t="shared" si="17"/>
        <v>1.1543993738490492</v>
      </c>
      <c r="U52" s="8">
        <f t="shared" si="17"/>
        <v>1.1356675948904611</v>
      </c>
      <c r="V52" s="8">
        <f t="shared" si="17"/>
        <v>1.1272165565551604</v>
      </c>
      <c r="W52" s="8">
        <f t="shared" si="17"/>
        <v>1.1227254097834332</v>
      </c>
      <c r="X52" s="8">
        <f t="shared" si="17"/>
        <v>1.1188039893614434</v>
      </c>
      <c r="Y52" s="8">
        <f t="shared" si="17"/>
        <v>1.1013122290822392</v>
      </c>
      <c r="Z52" s="8">
        <f t="shared" si="17"/>
        <v>1.0740415496319418</v>
      </c>
      <c r="AA52" s="8">
        <f t="shared" si="17"/>
        <v>1.0473725335901836</v>
      </c>
      <c r="AB52" s="8">
        <f t="shared" si="17"/>
        <v>1.0249472559388444</v>
      </c>
      <c r="AC52" s="19">
        <v>1</v>
      </c>
    </row>
    <row r="53" spans="1:30">
      <c r="A53" s="11" t="str">
        <f t="shared" ref="A53:A56" si="18">A45</f>
        <v>3 Year</v>
      </c>
      <c r="B53" s="8">
        <f t="shared" si="15"/>
        <v>1.3382881248158554</v>
      </c>
      <c r="C53" s="8">
        <f t="shared" si="15"/>
        <v>1.0220375987895167</v>
      </c>
      <c r="D53" s="8">
        <f t="shared" si="15"/>
        <v>0.99295667150983236</v>
      </c>
      <c r="E53" s="8">
        <f t="shared" si="15"/>
        <v>1.0126186837392155</v>
      </c>
      <c r="F53" s="8">
        <f t="shared" si="15"/>
        <v>1.0280415419464992</v>
      </c>
      <c r="G53" s="8">
        <f t="shared" si="15"/>
        <v>1.0379907562524364</v>
      </c>
      <c r="H53" s="8">
        <f t="shared" si="15"/>
        <v>1.0534346808940804</v>
      </c>
      <c r="I53" s="8">
        <f t="shared" si="15"/>
        <v>1.0516823466165266</v>
      </c>
      <c r="J53" s="8">
        <f t="shared" si="15"/>
        <v>1.0215597358228634</v>
      </c>
      <c r="K53" s="8">
        <f t="shared" si="15"/>
        <v>1.0008680953990206</v>
      </c>
      <c r="L53" s="8">
        <f t="shared" si="15"/>
        <v>0.99576225557373399</v>
      </c>
      <c r="M53" s="8">
        <f t="shared" si="15"/>
        <v>0.99010097534507624</v>
      </c>
      <c r="N53" s="19">
        <v>1</v>
      </c>
      <c r="O53" s="8"/>
      <c r="P53" s="11" t="str">
        <f t="shared" ref="P53:P56" si="19">P45</f>
        <v>3 Year</v>
      </c>
      <c r="Q53" s="8">
        <f t="shared" si="17"/>
        <v>2.6921632827488162</v>
      </c>
      <c r="R53" s="8">
        <f t="shared" si="17"/>
        <v>1.3567391076291173</v>
      </c>
      <c r="S53" s="8">
        <f t="shared" si="17"/>
        <v>1.2106841820582477</v>
      </c>
      <c r="T53" s="8">
        <f t="shared" si="17"/>
        <v>1.1448940394085392</v>
      </c>
      <c r="U53" s="8">
        <f t="shared" si="17"/>
        <v>1.1264978878350131</v>
      </c>
      <c r="V53" s="8">
        <f t="shared" si="17"/>
        <v>1.1179297243940074</v>
      </c>
      <c r="W53" s="8">
        <f t="shared" si="17"/>
        <v>1.1138460168476572</v>
      </c>
      <c r="X53" s="8">
        <f t="shared" si="17"/>
        <v>1.1082991554654364</v>
      </c>
      <c r="Y53" s="8">
        <f t="shared" si="17"/>
        <v>1.0880945600263714</v>
      </c>
      <c r="Z53" s="8">
        <f t="shared" si="17"/>
        <v>1.0687881715616607</v>
      </c>
      <c r="AA53" s="8">
        <f t="shared" si="17"/>
        <v>1.0473725335901836</v>
      </c>
      <c r="AB53" s="8">
        <f t="shared" si="17"/>
        <v>1.0249472559388444</v>
      </c>
      <c r="AC53" s="19">
        <v>1</v>
      </c>
    </row>
    <row r="54" spans="1:30">
      <c r="A54" s="11" t="str">
        <f t="shared" si="18"/>
        <v>4 Year</v>
      </c>
      <c r="B54" s="8">
        <f t="shared" si="15"/>
        <v>1.3330215926208648</v>
      </c>
      <c r="C54" s="8">
        <f t="shared" si="15"/>
        <v>1.0271219805095866</v>
      </c>
      <c r="D54" s="8">
        <f t="shared" si="15"/>
        <v>1.0003950930398435</v>
      </c>
      <c r="E54" s="8">
        <f t="shared" si="15"/>
        <v>1.0144053381589686</v>
      </c>
      <c r="F54" s="8">
        <f t="shared" si="15"/>
        <v>1.0301179590574219</v>
      </c>
      <c r="G54" s="8">
        <f t="shared" si="15"/>
        <v>1.0404581720671333</v>
      </c>
      <c r="H54" s="8">
        <f t="shared" si="15"/>
        <v>1.0560277735320061</v>
      </c>
      <c r="I54" s="8">
        <f t="shared" si="15"/>
        <v>1.0562894776531813</v>
      </c>
      <c r="J54" s="8">
        <f t="shared" si="15"/>
        <v>1.0257814907759626</v>
      </c>
      <c r="K54" s="8">
        <f t="shared" si="15"/>
        <v>1.0008680953990206</v>
      </c>
      <c r="L54" s="8">
        <f t="shared" si="15"/>
        <v>0.99576225557373399</v>
      </c>
      <c r="M54" s="8">
        <f t="shared" si="15"/>
        <v>0.99010097534507624</v>
      </c>
      <c r="N54" s="19">
        <v>1</v>
      </c>
      <c r="O54" s="8"/>
      <c r="P54" s="11" t="str">
        <f t="shared" si="19"/>
        <v>4 Year</v>
      </c>
      <c r="Q54" s="8">
        <f t="shared" si="17"/>
        <v>2.6876165263353986</v>
      </c>
      <c r="R54" s="8">
        <f t="shared" si="17"/>
        <v>1.3591238581111817</v>
      </c>
      <c r="S54" s="8">
        <f t="shared" si="17"/>
        <v>1.2135281164039882</v>
      </c>
      <c r="T54" s="8">
        <f t="shared" si="17"/>
        <v>1.1526138113102538</v>
      </c>
      <c r="U54" s="8">
        <f t="shared" si="17"/>
        <v>1.1327920647414642</v>
      </c>
      <c r="V54" s="8">
        <f t="shared" si="17"/>
        <v>1.1238057510723036</v>
      </c>
      <c r="W54" s="8">
        <f t="shared" si="17"/>
        <v>1.1190499514341701</v>
      </c>
      <c r="X54" s="8">
        <f t="shared" si="17"/>
        <v>1.113478212954262</v>
      </c>
      <c r="Y54" s="8">
        <f t="shared" si="17"/>
        <v>1.0930438027537426</v>
      </c>
      <c r="Z54" s="8">
        <f t="shared" si="17"/>
        <v>1.0687881715616607</v>
      </c>
      <c r="AA54" s="8">
        <f t="shared" si="17"/>
        <v>1.0473725335901836</v>
      </c>
      <c r="AB54" s="8">
        <f t="shared" si="17"/>
        <v>1.0249472559388444</v>
      </c>
      <c r="AC54" s="19">
        <v>1</v>
      </c>
    </row>
    <row r="55" spans="1:30">
      <c r="A55" s="11" t="str">
        <f t="shared" si="18"/>
        <v>5 Year</v>
      </c>
      <c r="B55" s="8">
        <f t="shared" si="15"/>
        <v>1.3269832029289588</v>
      </c>
      <c r="C55" s="8">
        <f t="shared" si="15"/>
        <v>1.0318239989252003</v>
      </c>
      <c r="D55" s="8">
        <f t="shared" si="15"/>
        <v>1.010033876226387</v>
      </c>
      <c r="E55" s="8">
        <f t="shared" si="15"/>
        <v>1.0225591110788708</v>
      </c>
      <c r="F55" s="8">
        <f t="shared" si="15"/>
        <v>1.0381341842552601</v>
      </c>
      <c r="G55" s="8">
        <f t="shared" si="15"/>
        <v>1.0477219569614202</v>
      </c>
      <c r="H55" s="8">
        <f t="shared" si="15"/>
        <v>1.0625943223835117</v>
      </c>
      <c r="I55" s="8">
        <f t="shared" si="15"/>
        <v>1.0619571232471161</v>
      </c>
      <c r="J55" s="8">
        <f t="shared" si="15"/>
        <v>1.0257814907759626</v>
      </c>
      <c r="K55" s="8">
        <f t="shared" si="15"/>
        <v>1.0008680953990206</v>
      </c>
      <c r="L55" s="8">
        <f t="shared" si="15"/>
        <v>0.99576225557373399</v>
      </c>
      <c r="M55" s="8">
        <f t="shared" si="15"/>
        <v>0.99010097534507624</v>
      </c>
      <c r="N55" s="19">
        <v>1</v>
      </c>
      <c r="O55" s="8"/>
      <c r="P55" s="11" t="str">
        <f t="shared" si="19"/>
        <v>5 Year</v>
      </c>
      <c r="Q55" s="8">
        <f t="shared" si="17"/>
        <v>2.6878389463863606</v>
      </c>
      <c r="R55" s="8">
        <f t="shared" si="17"/>
        <v>1.3681568133873769</v>
      </c>
      <c r="S55" s="8">
        <f t="shared" si="17"/>
        <v>1.2220262857230415</v>
      </c>
      <c r="T55" s="8">
        <f t="shared" si="17"/>
        <v>1.1615337875463836</v>
      </c>
      <c r="U55" s="8">
        <f t="shared" si="17"/>
        <v>1.1405489140177161</v>
      </c>
      <c r="V55" s="8">
        <f t="shared" si="17"/>
        <v>1.1297063030369581</v>
      </c>
      <c r="W55" s="8">
        <f t="shared" si="17"/>
        <v>1.1247582228272581</v>
      </c>
      <c r="X55" s="8">
        <f t="shared" si="17"/>
        <v>1.119606301953769</v>
      </c>
      <c r="Y55" s="8">
        <f t="shared" si="17"/>
        <v>1.0930438027537426</v>
      </c>
      <c r="Z55" s="8">
        <f t="shared" si="17"/>
        <v>1.0687881715616607</v>
      </c>
      <c r="AA55" s="8">
        <f t="shared" si="17"/>
        <v>1.0473725335901836</v>
      </c>
      <c r="AB55" s="8">
        <f t="shared" si="17"/>
        <v>1.0249472559388444</v>
      </c>
      <c r="AC55" s="19">
        <v>1</v>
      </c>
    </row>
    <row r="56" spans="1:30" ht="12.75">
      <c r="A56" s="11" t="str">
        <f t="shared" si="18"/>
        <v>All Year</v>
      </c>
      <c r="B56" s="8">
        <f t="shared" si="15"/>
        <v>1.3269832029289588</v>
      </c>
      <c r="C56" s="8">
        <f t="shared" si="15"/>
        <v>1.0318239989252003</v>
      </c>
      <c r="D56" s="8">
        <f t="shared" si="15"/>
        <v>1.010033876226387</v>
      </c>
      <c r="E56" s="8">
        <f t="shared" si="15"/>
        <v>1.0225591110788708</v>
      </c>
      <c r="F56" s="8">
        <f t="shared" si="15"/>
        <v>1.0381341842552601</v>
      </c>
      <c r="G56" s="8">
        <f t="shared" si="15"/>
        <v>1.0477219569614202</v>
      </c>
      <c r="H56" s="8">
        <f t="shared" si="15"/>
        <v>1.0625943223835117</v>
      </c>
      <c r="I56" s="8">
        <f t="shared" si="15"/>
        <v>1.0619571232471161</v>
      </c>
      <c r="J56" s="8">
        <f t="shared" si="15"/>
        <v>1.0257814907759626</v>
      </c>
      <c r="K56" s="8">
        <f t="shared" si="15"/>
        <v>1.0008680953990206</v>
      </c>
      <c r="L56" s="8">
        <f t="shared" si="15"/>
        <v>0.99576225557373399</v>
      </c>
      <c r="M56" s="8">
        <f t="shared" si="15"/>
        <v>0.99010097534507624</v>
      </c>
      <c r="N56" s="19">
        <v>1</v>
      </c>
      <c r="O56" s="8"/>
      <c r="P56" s="11" t="str">
        <f t="shared" si="19"/>
        <v>All Year</v>
      </c>
      <c r="Q56" s="8">
        <f t="shared" si="17"/>
        <v>2.6878389463863606</v>
      </c>
      <c r="R56" s="8">
        <f t="shared" si="17"/>
        <v>1.3681568133873769</v>
      </c>
      <c r="S56" s="8">
        <f t="shared" si="17"/>
        <v>1.2220262857230415</v>
      </c>
      <c r="T56" s="8">
        <f t="shared" si="17"/>
        <v>1.1615337875463836</v>
      </c>
      <c r="U56" s="8">
        <f t="shared" si="17"/>
        <v>1.1405489140177161</v>
      </c>
      <c r="V56" s="8">
        <f t="shared" si="17"/>
        <v>1.1297063030369581</v>
      </c>
      <c r="W56" s="8">
        <f t="shared" si="17"/>
        <v>1.1247582228272581</v>
      </c>
      <c r="X56" s="8">
        <f t="shared" si="17"/>
        <v>1.119606301953769</v>
      </c>
      <c r="Y56" s="8">
        <f t="shared" si="17"/>
        <v>1.0930438027537426</v>
      </c>
      <c r="Z56" s="8">
        <f t="shared" si="17"/>
        <v>1.0687881715616607</v>
      </c>
      <c r="AA56" s="8">
        <f t="shared" si="17"/>
        <v>1.0473725335901836</v>
      </c>
      <c r="AB56" s="8">
        <f t="shared" si="17"/>
        <v>1.0249472559388444</v>
      </c>
      <c r="AC56" s="19">
        <v>1</v>
      </c>
    </row>
    <row r="57" spans="1:30" ht="12.75">
      <c r="A57" s="20" t="s">
        <v>46</v>
      </c>
      <c r="B57" s="21">
        <f t="shared" ref="B57:M57" si="20">B49*C57</f>
        <v>1.4293723114042642</v>
      </c>
      <c r="C57" s="21">
        <f t="shared" si="20"/>
        <v>1.11062339658451</v>
      </c>
      <c r="D57" s="21">
        <f t="shared" si="20"/>
        <v>1.1007169440877207</v>
      </c>
      <c r="E57" s="21">
        <f t="shared" si="20"/>
        <v>1.1007169440877207</v>
      </c>
      <c r="F57" s="21">
        <f t="shared" si="20"/>
        <v>1.1007169440877207</v>
      </c>
      <c r="G57" s="21">
        <f t="shared" si="20"/>
        <v>1.0770224501836798</v>
      </c>
      <c r="H57" s="21">
        <f t="shared" si="20"/>
        <v>1.0770224501836798</v>
      </c>
      <c r="I57" s="21">
        <f t="shared" si="20"/>
        <v>1.07594650368</v>
      </c>
      <c r="J57" s="21">
        <f t="shared" si="20"/>
        <v>1.0446082560000001</v>
      </c>
      <c r="K57" s="21">
        <f t="shared" si="20"/>
        <v>1.02012525</v>
      </c>
      <c r="L57" s="21">
        <f t="shared" si="20"/>
        <v>1.01505</v>
      </c>
      <c r="M57" s="21">
        <f>M49*N57</f>
        <v>1.01</v>
      </c>
      <c r="N57" s="22">
        <f>N49</f>
        <v>1</v>
      </c>
      <c r="O57">
        <v>1.0489999999999999</v>
      </c>
      <c r="P57" s="20" t="s">
        <v>46</v>
      </c>
      <c r="Q57" s="21">
        <f t="shared" ref="Q57:AB57" si="21">Q49*R57</f>
        <v>2.6924657619857699</v>
      </c>
      <c r="R57" s="21">
        <f t="shared" si="21"/>
        <v>1.3695146296977467</v>
      </c>
      <c r="S57" s="21">
        <f t="shared" si="21"/>
        <v>1.2227809193729879</v>
      </c>
      <c r="T57" s="21">
        <f t="shared" si="21"/>
        <v>1.1612354409999885</v>
      </c>
      <c r="U57" s="21">
        <f t="shared" si="21"/>
        <v>1.1407027907661971</v>
      </c>
      <c r="V57" s="21">
        <f t="shared" si="21"/>
        <v>1.129408703728908</v>
      </c>
      <c r="W57" s="21">
        <f t="shared" si="21"/>
        <v>1.1249090674590718</v>
      </c>
      <c r="X57" s="21">
        <f t="shared" si="21"/>
        <v>1.1193125049343999</v>
      </c>
      <c r="Y57" s="21">
        <f t="shared" si="21"/>
        <v>1.0930786180999998</v>
      </c>
      <c r="Z57" s="21">
        <f t="shared" si="21"/>
        <v>1.0695485499999999</v>
      </c>
      <c r="AA57" s="21">
        <f t="shared" si="21"/>
        <v>1.04755</v>
      </c>
      <c r="AB57" s="21">
        <f t="shared" si="21"/>
        <v>1.0249999999999999</v>
      </c>
      <c r="AC57" s="22">
        <f>AC49</f>
        <v>1</v>
      </c>
      <c r="AD57">
        <v>1.077</v>
      </c>
    </row>
    <row r="61" spans="1:30" ht="12.75">
      <c r="A61" s="1" t="s">
        <v>71</v>
      </c>
      <c r="B61" s="104" t="s">
        <v>88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71"/>
      <c r="P61" s="1" t="s">
        <v>71</v>
      </c>
      <c r="Q61" s="104" t="s">
        <v>89</v>
      </c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</row>
    <row r="62" spans="1:30">
      <c r="A62" s="2" t="s">
        <v>71</v>
      </c>
      <c r="B62" s="104" t="s">
        <v>92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71"/>
      <c r="P62" s="2" t="s">
        <v>71</v>
      </c>
      <c r="Q62" s="104" t="s">
        <v>92</v>
      </c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</row>
    <row r="63" spans="1:30">
      <c r="B63" s="2">
        <v>12</v>
      </c>
      <c r="C63" s="2">
        <v>24</v>
      </c>
      <c r="D63" s="2">
        <v>36</v>
      </c>
      <c r="E63" s="2">
        <v>48</v>
      </c>
      <c r="F63" s="2">
        <v>60</v>
      </c>
      <c r="G63" s="2">
        <v>72</v>
      </c>
      <c r="H63" s="2">
        <v>84</v>
      </c>
      <c r="I63" s="2">
        <v>96</v>
      </c>
      <c r="J63" s="2">
        <v>108</v>
      </c>
      <c r="K63" s="2">
        <v>120</v>
      </c>
      <c r="L63" s="2">
        <v>132</v>
      </c>
      <c r="M63" s="2">
        <v>144</v>
      </c>
      <c r="N63" s="2">
        <v>156</v>
      </c>
      <c r="Q63" s="2">
        <v>12</v>
      </c>
      <c r="R63" s="2">
        <v>24</v>
      </c>
      <c r="S63" s="2">
        <v>36</v>
      </c>
      <c r="T63" s="2">
        <v>48</v>
      </c>
      <c r="U63" s="2">
        <v>60</v>
      </c>
      <c r="V63" s="2">
        <v>72</v>
      </c>
      <c r="W63" s="2">
        <v>84</v>
      </c>
      <c r="X63" s="2">
        <v>96</v>
      </c>
      <c r="Y63" s="2">
        <v>108</v>
      </c>
      <c r="Z63" s="2">
        <v>120</v>
      </c>
      <c r="AA63" s="2">
        <v>132</v>
      </c>
      <c r="AB63" s="2">
        <v>144</v>
      </c>
      <c r="AC63" s="2">
        <v>156</v>
      </c>
    </row>
    <row r="64" spans="1:30">
      <c r="A64" s="2" t="s">
        <v>103</v>
      </c>
      <c r="B64" s="2" t="s">
        <v>95</v>
      </c>
      <c r="C64" s="2" t="s">
        <v>95</v>
      </c>
      <c r="D64" s="2" t="s">
        <v>95</v>
      </c>
      <c r="E64" s="2" t="s">
        <v>95</v>
      </c>
      <c r="F64" s="2" t="s">
        <v>95</v>
      </c>
      <c r="G64" s="2" t="s">
        <v>95</v>
      </c>
      <c r="H64" s="2" t="s">
        <v>95</v>
      </c>
      <c r="I64" s="2" t="s">
        <v>95</v>
      </c>
      <c r="J64" s="2" t="s">
        <v>95</v>
      </c>
      <c r="K64" s="2" t="s">
        <v>95</v>
      </c>
      <c r="L64" s="2" t="s">
        <v>95</v>
      </c>
      <c r="M64" s="2" t="s">
        <v>95</v>
      </c>
      <c r="N64" s="2" t="s">
        <v>95</v>
      </c>
      <c r="P64" s="2" t="s">
        <v>103</v>
      </c>
      <c r="Q64" s="2" t="s">
        <v>95</v>
      </c>
      <c r="R64" s="2" t="s">
        <v>95</v>
      </c>
      <c r="S64" s="2" t="s">
        <v>95</v>
      </c>
      <c r="T64" s="2" t="s">
        <v>95</v>
      </c>
      <c r="U64" s="2" t="s">
        <v>95</v>
      </c>
      <c r="V64" s="2" t="s">
        <v>95</v>
      </c>
      <c r="W64" s="2" t="s">
        <v>95</v>
      </c>
      <c r="X64" s="2" t="s">
        <v>95</v>
      </c>
      <c r="Y64" s="2" t="s">
        <v>95</v>
      </c>
      <c r="Z64" s="2" t="s">
        <v>95</v>
      </c>
      <c r="AA64" s="2" t="s">
        <v>95</v>
      </c>
      <c r="AB64" s="2" t="s">
        <v>95</v>
      </c>
      <c r="AC64" s="2" t="s">
        <v>95</v>
      </c>
    </row>
    <row r="65" spans="1:29">
      <c r="A65" s="3" t="s">
        <v>54</v>
      </c>
      <c r="B65" s="4">
        <v>24</v>
      </c>
      <c r="C65" s="4">
        <v>36</v>
      </c>
      <c r="D65" s="4">
        <v>48</v>
      </c>
      <c r="E65" s="4">
        <v>60</v>
      </c>
      <c r="F65" s="4">
        <v>72</v>
      </c>
      <c r="G65" s="4">
        <v>84</v>
      </c>
      <c r="H65" s="4">
        <v>96</v>
      </c>
      <c r="I65" s="4">
        <v>108</v>
      </c>
      <c r="J65" s="4">
        <v>120</v>
      </c>
      <c r="K65" s="4">
        <v>132</v>
      </c>
      <c r="L65" s="4">
        <v>144</v>
      </c>
      <c r="M65" s="4">
        <v>156</v>
      </c>
      <c r="N65" s="4" t="s">
        <v>47</v>
      </c>
      <c r="P65" s="3" t="s">
        <v>54</v>
      </c>
      <c r="Q65" s="4">
        <v>24</v>
      </c>
      <c r="R65" s="4">
        <v>36</v>
      </c>
      <c r="S65" s="4">
        <v>48</v>
      </c>
      <c r="T65" s="4">
        <v>60</v>
      </c>
      <c r="U65" s="4">
        <v>72</v>
      </c>
      <c r="V65" s="4">
        <v>84</v>
      </c>
      <c r="W65" s="4">
        <v>96</v>
      </c>
      <c r="X65" s="4">
        <v>108</v>
      </c>
      <c r="Y65" s="4">
        <v>120</v>
      </c>
      <c r="Z65" s="4">
        <v>132</v>
      </c>
      <c r="AA65" s="4">
        <v>144</v>
      </c>
      <c r="AB65" s="4">
        <v>156</v>
      </c>
      <c r="AC65" s="4" t="s">
        <v>47</v>
      </c>
    </row>
    <row r="66" spans="1:29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P66" s="3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>
      <c r="A67" s="2">
        <f>A15</f>
        <v>2010</v>
      </c>
      <c r="B67" s="9">
        <f ca="1">OFFSET(B37,($B$63-B$63)/12,0)</f>
        <v>1.2389904790690645</v>
      </c>
      <c r="C67" s="9">
        <f t="shared" ref="C67:I67" ca="1" si="22">OFFSET(C37,($B$63-C$63)/12,0)</f>
        <v>1.0010029484267002</v>
      </c>
      <c r="D67" s="9">
        <f t="shared" ca="1" si="22"/>
        <v>0.99400060371283394</v>
      </c>
      <c r="E67" s="9">
        <f t="shared" ca="1" si="22"/>
        <v>0.98599815961600634</v>
      </c>
      <c r="F67" s="9">
        <f t="shared" ca="1" si="22"/>
        <v>0.99399720739648445</v>
      </c>
      <c r="G67" s="9">
        <f t="shared" ca="1" si="22"/>
        <v>0.98899282260397581</v>
      </c>
      <c r="H67" s="9">
        <f t="shared" ca="1" si="22"/>
        <v>1.0039911488807136</v>
      </c>
      <c r="I67" s="9">
        <f t="shared" ca="1" si="22"/>
        <v>1.0573672028361314</v>
      </c>
      <c r="J67" s="9"/>
      <c r="K67" s="9"/>
      <c r="L67" s="9"/>
      <c r="M67" s="9"/>
      <c r="P67" s="2">
        <f>P15</f>
        <v>2010</v>
      </c>
      <c r="Q67" s="9">
        <f ca="1">OFFSET(Q37,($B$63-Q$63)/12,0)</f>
        <v>1.9129965790365828</v>
      </c>
      <c r="R67" s="9">
        <f t="shared" ref="R67:X67" ca="1" si="23">OFFSET(R37,($B$63-R$63)/12,0)</f>
        <v>1.1179936355902833</v>
      </c>
      <c r="S67" s="9">
        <f t="shared" ca="1" si="23"/>
        <v>1.0490038511689965</v>
      </c>
      <c r="T67" s="9">
        <f t="shared" ca="1" si="23"/>
        <v>1.022002089983824</v>
      </c>
      <c r="U67" s="9">
        <f t="shared" ca="1" si="23"/>
        <v>1.0160033358256169</v>
      </c>
      <c r="V67" s="9">
        <f t="shared" ca="1" si="23"/>
        <v>1.004996776273372</v>
      </c>
      <c r="W67" s="9">
        <f t="shared" ca="1" si="23"/>
        <v>1.0029921169227227</v>
      </c>
      <c r="X67" s="9">
        <f t="shared" ca="1" si="23"/>
        <v>1.0391757979256246</v>
      </c>
      <c r="Y67" s="9"/>
      <c r="Z67" s="9"/>
      <c r="AA67" s="9"/>
      <c r="AB67" s="9"/>
    </row>
    <row r="68" spans="1:29">
      <c r="A68" s="2">
        <f>A16</f>
        <v>2011</v>
      </c>
      <c r="B68" s="9">
        <f t="shared" ref="B68:M71" ca="1" si="24">OFFSET(B38,($B$63-B$63)/12,0)</f>
        <v>1.262994146183223</v>
      </c>
      <c r="C68" s="9">
        <f t="shared" ca="1" si="24"/>
        <v>1.0190037080405934</v>
      </c>
      <c r="D68" s="9">
        <f t="shared" ca="1" si="24"/>
        <v>1.0030058305870424</v>
      </c>
      <c r="E68" s="9">
        <f t="shared" ca="1" si="24"/>
        <v>0.98399362275562752</v>
      </c>
      <c r="F68" s="9">
        <f t="shared" ca="1" si="24"/>
        <v>0.98900267366190786</v>
      </c>
      <c r="G68" s="9">
        <f t="shared" ca="1" si="24"/>
        <v>0.98500741752110388</v>
      </c>
      <c r="H68" s="9">
        <f t="shared" ca="1" si="24"/>
        <v>0.99401030784231792</v>
      </c>
      <c r="I68" s="9">
        <f t="shared" ca="1" si="24"/>
        <v>1.030504211906919</v>
      </c>
      <c r="J68" s="9">
        <f t="shared" ca="1" si="24"/>
        <v>1.0375460666685139</v>
      </c>
      <c r="K68" s="9"/>
      <c r="L68" s="9"/>
      <c r="M68" s="9"/>
      <c r="P68" s="2">
        <f>P16</f>
        <v>2011</v>
      </c>
      <c r="Q68" s="9">
        <f t="shared" ref="Q68:AB71" ca="1" si="25">OFFSET(Q38,($B$63-Q$63)/12,0)</f>
        <v>1.9569814293071586</v>
      </c>
      <c r="R68" s="9">
        <f t="shared" ca="1" si="25"/>
        <v>1.1179939101996101</v>
      </c>
      <c r="S68" s="9">
        <f t="shared" ca="1" si="25"/>
        <v>1.0390034945327471</v>
      </c>
      <c r="T68" s="9">
        <f t="shared" ca="1" si="25"/>
        <v>1.0210013586563755</v>
      </c>
      <c r="U68" s="9">
        <f t="shared" ca="1" si="25"/>
        <v>1.0089923522985125</v>
      </c>
      <c r="V68" s="9">
        <f t="shared" ca="1" si="25"/>
        <v>1.00600048117066</v>
      </c>
      <c r="W68" s="9">
        <f t="shared" ca="1" si="25"/>
        <v>1.0050010935335716</v>
      </c>
      <c r="X68" s="9">
        <f t="shared" ca="1" si="25"/>
        <v>1.0262463427227353</v>
      </c>
      <c r="Y68" s="9">
        <f t="shared" ca="1" si="25"/>
        <v>1.036586631864628</v>
      </c>
      <c r="Z68" s="9"/>
      <c r="AA68" s="9"/>
      <c r="AB68" s="9"/>
    </row>
    <row r="69" spans="1:29">
      <c r="A69" s="2">
        <f>A17</f>
        <v>2012</v>
      </c>
      <c r="B69" s="9">
        <f t="shared" ca="1" si="24"/>
        <v>1.3622923658609116</v>
      </c>
      <c r="C69" s="9">
        <f t="shared" ca="1" si="24"/>
        <v>1.0049967894460334</v>
      </c>
      <c r="D69" s="9">
        <f t="shared" ca="1" si="24"/>
        <v>0.99000502741136198</v>
      </c>
      <c r="E69" s="9">
        <f t="shared" ca="1" si="24"/>
        <v>0.98399287502407085</v>
      </c>
      <c r="F69" s="9">
        <f t="shared" ca="1" si="24"/>
        <v>0.98999562790936912</v>
      </c>
      <c r="G69" s="9">
        <f t="shared" ca="1" si="24"/>
        <v>0.9830017852588625</v>
      </c>
      <c r="H69" s="9">
        <f t="shared" ca="1" si="24"/>
        <v>1.0109957483106533</v>
      </c>
      <c r="I69" s="9">
        <f t="shared" ca="1" si="24"/>
        <v>1.041605941704036</v>
      </c>
      <c r="J69" s="9">
        <f t="shared" ca="1" si="24"/>
        <v>0.99755947148124335</v>
      </c>
      <c r="K69" s="9">
        <f t="shared" ca="1" si="24"/>
        <v>0.98913043478260865</v>
      </c>
      <c r="L69" s="9"/>
      <c r="M69" s="9"/>
      <c r="P69" s="2">
        <f>P17</f>
        <v>2012</v>
      </c>
      <c r="Q69" s="9">
        <f t="shared" ca="1" si="25"/>
        <v>2.0478694521448371</v>
      </c>
      <c r="R69" s="9">
        <f t="shared" ca="1" si="25"/>
        <v>1.1140128177342952</v>
      </c>
      <c r="S69" s="9">
        <f t="shared" ca="1" si="25"/>
        <v>1.0410116002593848</v>
      </c>
      <c r="T69" s="9">
        <f t="shared" ca="1" si="25"/>
        <v>1.0160030378648151</v>
      </c>
      <c r="U69" s="9">
        <f t="shared" ca="1" si="25"/>
        <v>1.0079984144735912</v>
      </c>
      <c r="V69" s="9">
        <f t="shared" ca="1" si="25"/>
        <v>1.0029985007496252</v>
      </c>
      <c r="W69" s="9">
        <f t="shared" ca="1" si="25"/>
        <v>1.0080045016529506</v>
      </c>
      <c r="X69" s="9">
        <f t="shared" ca="1" si="25"/>
        <v>1.0189473073351902</v>
      </c>
      <c r="Y69" s="9">
        <f t="shared" ca="1" si="25"/>
        <v>1.0034100120188949</v>
      </c>
      <c r="Z69" s="9">
        <f t="shared" ca="1" si="25"/>
        <v>1.0104154744191369</v>
      </c>
      <c r="AA69" s="9"/>
      <c r="AB69" s="9"/>
    </row>
    <row r="70" spans="1:29">
      <c r="A70" s="2">
        <f>A18</f>
        <v>2013</v>
      </c>
      <c r="B70" s="9">
        <f t="shared" ca="1" si="24"/>
        <v>1.2319974331158612</v>
      </c>
      <c r="C70" s="9">
        <f t="shared" ca="1" si="24"/>
        <v>1.0568705107015519</v>
      </c>
      <c r="D70" s="9">
        <f t="shared" ca="1" si="24"/>
        <v>0.97400183543789132</v>
      </c>
      <c r="E70" s="9">
        <f t="shared" ca="1" si="24"/>
        <v>0.97499607046561965</v>
      </c>
      <c r="F70" s="9">
        <f t="shared" ca="1" si="24"/>
        <v>0.99200078279801363</v>
      </c>
      <c r="G70" s="9">
        <f t="shared" ca="1" si="24"/>
        <v>0.98701096274744116</v>
      </c>
      <c r="H70" s="9">
        <f t="shared" ca="1" si="24"/>
        <v>0.99700338578489245</v>
      </c>
      <c r="I70" s="9">
        <f t="shared" ca="1" si="24"/>
        <v>1.030005009623751</v>
      </c>
      <c r="J70" s="9">
        <f t="shared" ca="1" si="24"/>
        <v>1.0571916748510002</v>
      </c>
      <c r="K70" s="9">
        <f t="shared" ca="1" si="24"/>
        <v>1.0215055177765793</v>
      </c>
      <c r="L70" s="9">
        <f t="shared" ca="1" si="24"/>
        <v>1.02010152010152</v>
      </c>
      <c r="M70" s="9"/>
      <c r="P70" s="2">
        <f>P18</f>
        <v>2013</v>
      </c>
      <c r="Q70" s="9">
        <f t="shared" ca="1" si="25"/>
        <v>1.9610193487494101</v>
      </c>
      <c r="R70" s="9">
        <f t="shared" ca="1" si="25"/>
        <v>1.1348926134222757</v>
      </c>
      <c r="S70" s="9">
        <f t="shared" ca="1" si="25"/>
        <v>1.0369912316051304</v>
      </c>
      <c r="T70" s="9">
        <f t="shared" ca="1" si="25"/>
        <v>1.014991486828809</v>
      </c>
      <c r="U70" s="9">
        <f t="shared" ca="1" si="25"/>
        <v>1.0059933792514282</v>
      </c>
      <c r="V70" s="9">
        <f t="shared" ca="1" si="25"/>
        <v>1.0059968541093196</v>
      </c>
      <c r="W70" s="9">
        <f t="shared" ca="1" si="25"/>
        <v>1.0030033770691469</v>
      </c>
      <c r="X70" s="9">
        <f t="shared" ca="1" si="25"/>
        <v>1.0212549194741396</v>
      </c>
      <c r="Y70" s="9">
        <f t="shared" ca="1" si="25"/>
        <v>1.0421448301392489</v>
      </c>
      <c r="Z70" s="9">
        <f t="shared" ca="1" si="25"/>
        <v>1.0253906794061116</v>
      </c>
      <c r="AA70" s="9">
        <f t="shared" ca="1" si="25"/>
        <v>1.0335579972813775</v>
      </c>
      <c r="AB70" s="9"/>
    </row>
    <row r="71" spans="1:29">
      <c r="A71" s="2">
        <f>A19</f>
        <v>2014</v>
      </c>
      <c r="B71" s="9">
        <f t="shared" ca="1" si="24"/>
        <v>1.3340044039005976</v>
      </c>
      <c r="C71" s="9">
        <f t="shared" ca="1" si="24"/>
        <v>1.0259943199434474</v>
      </c>
      <c r="D71" s="9">
        <f t="shared" ca="1" si="24"/>
        <v>0.97774215123141084</v>
      </c>
      <c r="E71" s="9">
        <f t="shared" ca="1" si="24"/>
        <v>0.9960045321724611</v>
      </c>
      <c r="F71" s="9">
        <f t="shared" ca="1" si="24"/>
        <v>0.98924837857612324</v>
      </c>
      <c r="G71" s="9">
        <f t="shared" ca="1" si="24"/>
        <v>0.98600562241073186</v>
      </c>
      <c r="H71" s="9">
        <f t="shared" ca="1" si="24"/>
        <v>0.99699952624098542</v>
      </c>
      <c r="I71" s="9">
        <f t="shared" ca="1" si="24"/>
        <v>1.0168496929322368</v>
      </c>
      <c r="J71" s="9">
        <f t="shared" ca="1" si="24"/>
        <v>1.0072699347241776</v>
      </c>
      <c r="K71" s="9">
        <f t="shared" ca="1" si="24"/>
        <v>1.0047467548994655</v>
      </c>
      <c r="L71" s="9">
        <f t="shared" ca="1" si="24"/>
        <v>0.99133424325925168</v>
      </c>
      <c r="M71" s="9">
        <f t="shared" ca="1" si="24"/>
        <v>0.99010097534507624</v>
      </c>
      <c r="P71" s="2">
        <f>P19</f>
        <v>2014</v>
      </c>
      <c r="Q71" s="9">
        <f t="shared" ca="1" si="25"/>
        <v>1.9439799583471673</v>
      </c>
      <c r="R71" s="9">
        <f t="shared" ca="1" si="25"/>
        <v>1.113009577898638</v>
      </c>
      <c r="S71" s="9">
        <f t="shared" ca="1" si="25"/>
        <v>1.0943890412306481</v>
      </c>
      <c r="T71" s="9">
        <f t="shared" ca="1" si="25"/>
        <v>1.0179966499162478</v>
      </c>
      <c r="U71" s="9">
        <f t="shared" ca="1" si="25"/>
        <v>1.0090011456003491</v>
      </c>
      <c r="V71" s="9">
        <f t="shared" ca="1" si="25"/>
        <v>1.002003582564851</v>
      </c>
      <c r="W71" s="9">
        <f t="shared" ca="1" si="25"/>
        <v>1.0040066451675951</v>
      </c>
      <c r="X71" s="9">
        <f t="shared" ca="1" si="25"/>
        <v>1.0158826532724337</v>
      </c>
      <c r="Y71" s="9">
        <f t="shared" ca="1" si="25"/>
        <v>1.0086365934651598</v>
      </c>
      <c r="Z71" s="9">
        <f t="shared" ca="1" si="25"/>
        <v>1.0255348799081891</v>
      </c>
      <c r="AA71" s="9">
        <f t="shared" ca="1" si="25"/>
        <v>1.0102008937667242</v>
      </c>
      <c r="AB71" s="9">
        <f t="shared" ca="1" si="25"/>
        <v>1.0249472559388444</v>
      </c>
    </row>
  </sheetData>
  <mergeCells count="12">
    <mergeCell ref="B61:N61"/>
    <mergeCell ref="Q61:AC61"/>
    <mergeCell ref="B62:N62"/>
    <mergeCell ref="Q62:AC62"/>
    <mergeCell ref="B25:N25"/>
    <mergeCell ref="Q25:AC25"/>
    <mergeCell ref="B2:N2"/>
    <mergeCell ref="Q2:AC2"/>
    <mergeCell ref="B3:N3"/>
    <mergeCell ref="Q3:AC3"/>
    <mergeCell ref="B24:N24"/>
    <mergeCell ref="Q24:AC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theme="4" tint="0.39997558519241921"/>
  </sheetPr>
  <dimension ref="A3:E17"/>
  <sheetViews>
    <sheetView workbookViewId="0">
      <selection activeCell="B6" sqref="B6"/>
    </sheetView>
  </sheetViews>
  <sheetFormatPr defaultColWidth="8.85546875" defaultRowHeight="12.95"/>
  <sheetData>
    <row r="3" spans="1:5">
      <c r="B3" s="16" t="s">
        <v>107</v>
      </c>
      <c r="C3" s="17"/>
      <c r="D3" s="16" t="s">
        <v>108</v>
      </c>
      <c r="E3" s="17"/>
    </row>
    <row r="4" spans="1:5">
      <c r="A4" s="15" t="s">
        <v>109</v>
      </c>
      <c r="B4" s="14" t="s">
        <v>38</v>
      </c>
      <c r="C4" s="14" t="s">
        <v>39</v>
      </c>
      <c r="D4" s="14" t="s">
        <v>38</v>
      </c>
      <c r="E4" s="14" t="s">
        <v>39</v>
      </c>
    </row>
    <row r="5" spans="1:5" hidden="1">
      <c r="A5" s="15"/>
      <c r="B5" s="14" t="s">
        <v>110</v>
      </c>
      <c r="C5" s="14" t="s">
        <v>111</v>
      </c>
      <c r="D5" s="14" t="s">
        <v>112</v>
      </c>
      <c r="E5" s="14" t="s">
        <v>113</v>
      </c>
    </row>
    <row r="6" spans="1:5">
      <c r="A6" s="18">
        <v>12</v>
      </c>
      <c r="B6" s="6">
        <f>1/HLOOKUP($A6,Base_Indem_Tri!$S$6:$AE$57,52,FALSE)</f>
        <v>0.13157495905050398</v>
      </c>
      <c r="C6" s="6">
        <f>1/HLOOKUP($A6,Base_Med_Tri!$Q$6:$AC$57,52,FALSE)</f>
        <v>0.37140676554507851</v>
      </c>
      <c r="D6" s="6">
        <f>1/HLOOKUP($A6,Base_Indem_Tri!$B$6:$N$57,52,FALSE)</f>
        <v>0.65517910804140056</v>
      </c>
      <c r="E6" s="6">
        <f>1/HLOOKUP($A6,Base_Med_Tri!$B$6:$N$57,52,FALSE)</f>
        <v>0.699607787293407</v>
      </c>
    </row>
    <row r="7" spans="1:5">
      <c r="A7" s="18">
        <f>+A6+12</f>
        <v>24</v>
      </c>
      <c r="B7" s="6">
        <f>1/HLOOKUP($A7,Base_Indem_Tri!$S$6:$AE$57,52,FALSE)</f>
        <v>0.37237006645452964</v>
      </c>
      <c r="C7" s="6">
        <f>1/HLOOKUP($A7,Base_Med_Tri!$Q$6:$AC$57,52,FALSE)</f>
        <v>0.73018570106162428</v>
      </c>
      <c r="D7" s="6">
        <f>1/HLOOKUP($A7,Base_Indem_Tri!$B$6:$N$57,52,FALSE)</f>
        <v>0.89614316693893004</v>
      </c>
      <c r="E7" s="6">
        <f>1/HLOOKUP($A7,Base_Med_Tri!$B$6:$N$57,52,FALSE)</f>
        <v>0.90039522224661472</v>
      </c>
    </row>
    <row r="8" spans="1:5">
      <c r="A8" s="18">
        <f t="shared" ref="A8:A17" si="0">+A7+12</f>
        <v>36</v>
      </c>
      <c r="B8" s="6">
        <f>1/HLOOKUP($A8,Base_Indem_Tri!$S$6:$AE$57,52,FALSE)</f>
        <v>0.57464340177920825</v>
      </c>
      <c r="C8" s="6">
        <f>1/HLOOKUP($A8,Base_Med_Tri!$Q$6:$AC$57,52,FALSE)</f>
        <v>0.81780798518901932</v>
      </c>
      <c r="D8" s="6">
        <f>1/HLOOKUP($A8,Base_Indem_Tri!$B$6:$N$57,52,FALSE)</f>
        <v>0.99946467426373242</v>
      </c>
      <c r="E8" s="6">
        <f>1/HLOOKUP($A8,Base_Med_Tri!$B$6:$N$57,52,FALSE)</f>
        <v>0.90849877924683409</v>
      </c>
    </row>
    <row r="9" spans="1:5">
      <c r="A9" s="18">
        <f t="shared" si="0"/>
        <v>48</v>
      </c>
      <c r="B9" s="6">
        <f>1/HLOOKUP($A9,Base_Indem_Tri!$S$6:$AE$57,52,FALSE)</f>
        <v>0.70594581423487079</v>
      </c>
      <c r="C9" s="6">
        <f>1/HLOOKUP($A9,Base_Med_Tri!$Q$6:$AC$57,52,FALSE)</f>
        <v>0.86115180840403738</v>
      </c>
      <c r="D9" s="6">
        <f>1/HLOOKUP($A9,Base_Indem_Tri!$B$6:$N$57,52,FALSE)</f>
        <v>1.0229071946230999</v>
      </c>
      <c r="E9" s="6">
        <f>1/HLOOKUP($A9,Base_Med_Tri!$B$6:$N$57,52,FALSE)</f>
        <v>0.90849877924683409</v>
      </c>
    </row>
    <row r="10" spans="1:5">
      <c r="A10" s="18">
        <f t="shared" si="0"/>
        <v>60</v>
      </c>
      <c r="B10" s="6">
        <f>1/HLOOKUP($A10,Base_Indem_Tri!$S$6:$AE$57,52,FALSE)</f>
        <v>0.79023574445451428</v>
      </c>
      <c r="C10" s="6">
        <f>1/HLOOKUP($A10,Base_Med_Tri!$Q$6:$AC$57,52,FALSE)</f>
        <v>0.87665254095530998</v>
      </c>
      <c r="D10" s="6">
        <f>1/HLOOKUP($A10,Base_Indem_Tri!$B$6:$N$57,52,FALSE)</f>
        <v>1.0215399387832198</v>
      </c>
      <c r="E10" s="6">
        <f>1/HLOOKUP($A10,Base_Med_Tri!$B$6:$N$57,52,FALSE)</f>
        <v>0.90849877924683409</v>
      </c>
    </row>
    <row r="11" spans="1:5">
      <c r="A11" s="18">
        <f t="shared" si="0"/>
        <v>72</v>
      </c>
      <c r="B11" s="6">
        <f>1/HLOOKUP($A11,Base_Indem_Tri!$S$6:$AE$57,52,FALSE)</f>
        <v>0.83808451878123524</v>
      </c>
      <c r="C11" s="6">
        <f>1/HLOOKUP($A11,Base_Med_Tri!$Q$6:$AC$57,52,FALSE)</f>
        <v>0.88541906636486312</v>
      </c>
      <c r="D11" s="6">
        <f>1/HLOOKUP($A11,Base_Indem_Tri!$B$6:$N$57,52,FALSE)</f>
        <v>1.0157531593102656</v>
      </c>
      <c r="E11" s="6">
        <f>1/HLOOKUP($A11,Base_Med_Tri!$B$6:$N$57,52,FALSE)</f>
        <v>0.92848575239026443</v>
      </c>
    </row>
    <row r="12" spans="1:5">
      <c r="A12" s="18">
        <f t="shared" si="0"/>
        <v>84</v>
      </c>
      <c r="B12" s="6">
        <f>1/HLOOKUP($A12,Base_Indem_Tri!$S$6:$AE$57,52,FALSE)</f>
        <v>0.86440037267096603</v>
      </c>
      <c r="C12" s="6">
        <f>1/HLOOKUP($A12,Base_Med_Tri!$Q$6:$AC$57,52,FALSE)</f>
        <v>0.88896074263032243</v>
      </c>
      <c r="D12" s="6">
        <f>1/HLOOKUP($A12,Base_Indem_Tri!$B$6:$N$57,52,FALSE)</f>
        <v>1.0133868534950741</v>
      </c>
      <c r="E12" s="6">
        <f>1/HLOOKUP($A12,Base_Med_Tri!$B$6:$N$57,52,FALSE)</f>
        <v>0.92848575239026443</v>
      </c>
    </row>
    <row r="13" spans="1:5">
      <c r="A13" s="18">
        <f t="shared" si="0"/>
        <v>96</v>
      </c>
      <c r="B13" s="6">
        <f>1/HLOOKUP($A13,Base_Indem_Tri!$S$6:$AE$57,52,FALSE)</f>
        <v>0.88043499958401217</v>
      </c>
      <c r="C13" s="6">
        <f>1/HLOOKUP($A13,Base_Med_Tri!$Q$6:$AC$57,52,FALSE)</f>
        <v>0.89340554634347402</v>
      </c>
      <c r="D13" s="6">
        <f>1/HLOOKUP($A13,Base_Indem_Tri!$B$6:$N$57,52,FALSE)</f>
        <v>1.0059518088565629</v>
      </c>
      <c r="E13" s="6">
        <f>1/HLOOKUP($A13,Base_Med_Tri!$B$6:$N$57,52,FALSE)</f>
        <v>0.92941423814265445</v>
      </c>
    </row>
    <row r="14" spans="1:5">
      <c r="A14" s="18">
        <f t="shared" si="0"/>
        <v>108</v>
      </c>
      <c r="B14" s="6">
        <f>1/HLOOKUP($A14,Base_Indem_Tri!$S$6:$AE$57,52,FALSE)</f>
        <v>0.89651019705792312</v>
      </c>
      <c r="C14" s="6">
        <f>1/HLOOKUP($A14,Base_Med_Tri!$Q$6:$AC$57,52,FALSE)</f>
        <v>0.91484727945571742</v>
      </c>
      <c r="D14" s="6">
        <f>1/HLOOKUP($A14,Base_Indem_Tri!$B$6:$N$57,52,FALSE)</f>
        <v>1.0128162162989625</v>
      </c>
      <c r="E14" s="6">
        <f>1/HLOOKUP($A14,Base_Med_Tri!$B$6:$N$57,52,FALSE)</f>
        <v>0.95729666528693402</v>
      </c>
    </row>
    <row r="15" spans="1:5">
      <c r="A15" s="18">
        <f t="shared" si="0"/>
        <v>120</v>
      </c>
      <c r="B15" s="6">
        <f>1/HLOOKUP($A15,Base_Indem_Tri!$S$6:$AE$57,52,FALSE)</f>
        <v>0.91212644196601089</v>
      </c>
      <c r="C15" s="6">
        <f>1/HLOOKUP($A15,Base_Med_Tri!$Q$6:$AC$57,52,FALSE)</f>
        <v>0.93497391960374321</v>
      </c>
      <c r="D15" s="6">
        <f>1/HLOOKUP($A15,Base_Indem_Tri!$B$6:$N$57,52,FALSE)</f>
        <v>1.0126158916427044</v>
      </c>
      <c r="E15" s="6">
        <f>1/HLOOKUP($A15,Base_Med_Tri!$B$6:$N$57,52,FALSE)</f>
        <v>0.98027178525382053</v>
      </c>
    </row>
    <row r="16" spans="1:5">
      <c r="A16" s="18">
        <f t="shared" si="0"/>
        <v>132</v>
      </c>
      <c r="B16" s="6">
        <f>1/HLOOKUP($A16,Base_Indem_Tri!$S$6:$AE$57,52,FALSE)</f>
        <v>0.97376172250439308</v>
      </c>
      <c r="C16" s="6">
        <f>1/HLOOKUP($A16,Base_Med_Tri!$Q$6:$AC$57,52,FALSE)</f>
        <v>0.95460837191542169</v>
      </c>
      <c r="D16" s="6">
        <f>1/HLOOKUP($A16,Base_Indem_Tri!$B$6:$N$57,52,FALSE)</f>
        <v>1.0066507878792481</v>
      </c>
      <c r="E16" s="6">
        <f>1/HLOOKUP($A16,Base_Med_Tri!$B$6:$N$57,52,FALSE)</f>
        <v>0.98517314418008961</v>
      </c>
    </row>
    <row r="17" spans="1:5">
      <c r="A17" s="18">
        <f t="shared" si="0"/>
        <v>144</v>
      </c>
      <c r="B17" s="6">
        <f>1/HLOOKUP($A17,Base_Indem_Tri!$S$6:$AE$57,52,FALSE)</f>
        <v>0.99304220460997994</v>
      </c>
      <c r="C17" s="6">
        <f>1/HLOOKUP($A17,Base_Med_Tri!$Q$6:$AC$57,52,FALSE)</f>
        <v>0.97560975609756106</v>
      </c>
      <c r="D17" s="6">
        <f>1/HLOOKUP($A17,Base_Indem_Tri!$B$6:$N$57,52,FALSE)</f>
        <v>1.0121457489878543</v>
      </c>
      <c r="E17" s="6">
        <f>1/HLOOKUP($A17,Base_Med_Tri!$B$6:$N$57,52,FALSE)</f>
        <v>0.99009900990099009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5" tint="0.39997558519241921"/>
  </sheetPr>
  <dimension ref="A1:P36"/>
  <sheetViews>
    <sheetView zoomScale="207" workbookViewId="0">
      <selection activeCell="E7" sqref="E7"/>
    </sheetView>
  </sheetViews>
  <sheetFormatPr defaultColWidth="8.85546875" defaultRowHeight="12.95"/>
  <cols>
    <col min="1" max="1" width="16.85546875" bestFit="1" customWidth="1"/>
    <col min="2" max="6" width="12.7109375" customWidth="1"/>
    <col min="7" max="7" width="10.140625" bestFit="1" customWidth="1"/>
    <col min="8" max="8" width="12.85546875" bestFit="1" customWidth="1"/>
  </cols>
  <sheetData>
    <row r="1" spans="1:12">
      <c r="B1" s="59"/>
      <c r="C1" s="59"/>
      <c r="D1" s="59"/>
    </row>
    <row r="2" spans="1:12">
      <c r="B2" s="60" t="s">
        <v>114</v>
      </c>
      <c r="C2" s="59"/>
      <c r="D2" s="59"/>
    </row>
    <row r="3" spans="1:12">
      <c r="B3" s="59" t="s">
        <v>115</v>
      </c>
      <c r="C3" s="59"/>
      <c r="D3" s="59"/>
    </row>
    <row r="4" spans="1:12">
      <c r="B4" s="59" t="s">
        <v>116</v>
      </c>
      <c r="C4" s="59"/>
      <c r="D4" s="59"/>
    </row>
    <row r="5" spans="1:12">
      <c r="B5" s="59"/>
      <c r="C5" s="59"/>
      <c r="D5" s="61"/>
    </row>
    <row r="6" spans="1:12">
      <c r="B6" s="59"/>
      <c r="C6" s="59"/>
      <c r="D6" s="61"/>
    </row>
    <row r="8" spans="1:12">
      <c r="A8" s="59" t="s">
        <v>117</v>
      </c>
      <c r="B8">
        <v>12</v>
      </c>
      <c r="C8">
        <v>24</v>
      </c>
      <c r="D8">
        <v>36</v>
      </c>
      <c r="E8">
        <v>48</v>
      </c>
      <c r="F8">
        <v>60</v>
      </c>
    </row>
    <row r="9" spans="1:12">
      <c r="A9" t="s">
        <v>118</v>
      </c>
      <c r="B9" s="5">
        <v>0</v>
      </c>
      <c r="C9" s="5">
        <v>5500</v>
      </c>
      <c r="D9" s="5">
        <v>9000</v>
      </c>
      <c r="E9" s="5">
        <v>8000</v>
      </c>
      <c r="F9" s="5">
        <v>8000</v>
      </c>
      <c r="H9" s="5"/>
      <c r="I9" s="5"/>
      <c r="J9" s="5"/>
      <c r="K9" s="5"/>
      <c r="L9" s="5"/>
    </row>
    <row r="10" spans="1:12">
      <c r="A10" t="s">
        <v>119</v>
      </c>
      <c r="B10" s="5">
        <v>0</v>
      </c>
      <c r="C10" s="5">
        <v>4000</v>
      </c>
      <c r="D10" s="5">
        <v>6000</v>
      </c>
      <c r="E10" s="5">
        <v>8000</v>
      </c>
      <c r="F10" s="5">
        <v>8000</v>
      </c>
    </row>
    <row r="11" spans="1:12">
      <c r="B11" s="5"/>
      <c r="C11" s="5"/>
      <c r="D11" s="5"/>
      <c r="E11" s="5"/>
      <c r="F11" s="5"/>
    </row>
    <row r="12" spans="1:12">
      <c r="A12" t="s">
        <v>120</v>
      </c>
      <c r="B12" s="5">
        <v>0</v>
      </c>
      <c r="C12" s="5">
        <v>8000</v>
      </c>
      <c r="D12" s="5">
        <v>14000</v>
      </c>
      <c r="E12" s="5">
        <v>12000</v>
      </c>
      <c r="F12" s="5">
        <v>12000</v>
      </c>
    </row>
    <row r="13" spans="1:12">
      <c r="A13" t="s">
        <v>121</v>
      </c>
      <c r="B13" s="5">
        <v>0</v>
      </c>
      <c r="C13" s="5">
        <v>5000</v>
      </c>
      <c r="D13" s="5">
        <v>7000</v>
      </c>
      <c r="E13" s="5">
        <v>12000</v>
      </c>
      <c r="F13" s="5">
        <v>12000</v>
      </c>
    </row>
    <row r="18" spans="3:16">
      <c r="C18" s="5"/>
      <c r="D18" s="5"/>
      <c r="E18" s="5"/>
      <c r="G18" s="5"/>
      <c r="H18" s="5"/>
      <c r="I18" s="5"/>
      <c r="J18" s="5"/>
      <c r="K18" s="5"/>
      <c r="L18" s="5"/>
      <c r="M18" s="5"/>
      <c r="N18" s="5"/>
    </row>
    <row r="19" spans="3:16">
      <c r="I19" s="5"/>
      <c r="J19" s="5"/>
      <c r="K19" s="5"/>
      <c r="L19" s="5"/>
      <c r="M19" s="5"/>
      <c r="N19" s="5"/>
    </row>
    <row r="20" spans="3:16">
      <c r="E20" s="5"/>
      <c r="G20" s="5"/>
      <c r="H20" s="5"/>
      <c r="I20" s="5"/>
      <c r="J20" s="5"/>
      <c r="K20" s="5"/>
      <c r="L20" s="5"/>
      <c r="M20" s="5"/>
      <c r="N20" s="5"/>
    </row>
    <row r="24" spans="3:16">
      <c r="E24" s="5"/>
    </row>
    <row r="26" spans="3:16">
      <c r="C26" s="39"/>
      <c r="D26" s="39"/>
      <c r="E26" s="39"/>
      <c r="F26" s="39"/>
      <c r="G26" s="40"/>
      <c r="H26" s="39"/>
      <c r="I26" s="39"/>
      <c r="J26" s="39"/>
      <c r="K26" s="39"/>
      <c r="M26" s="39"/>
      <c r="N26" s="39"/>
      <c r="O26" s="39"/>
      <c r="P26" s="39"/>
    </row>
    <row r="27" spans="3:16">
      <c r="C27" s="39"/>
      <c r="D27" s="39"/>
      <c r="E27" s="39"/>
      <c r="F27" s="39"/>
      <c r="G27" s="40"/>
      <c r="H27" s="39"/>
      <c r="I27" s="39"/>
      <c r="J27" s="39"/>
      <c r="K27" s="39"/>
      <c r="M27" s="39"/>
      <c r="N27" s="39"/>
      <c r="O27" s="39"/>
      <c r="P27" s="39"/>
    </row>
    <row r="28" spans="3:16">
      <c r="C28" s="39"/>
      <c r="D28" s="39"/>
      <c r="E28" s="39"/>
      <c r="F28" s="39"/>
      <c r="G28" s="40"/>
      <c r="H28" s="40"/>
      <c r="I28" s="40"/>
      <c r="J28" s="40"/>
      <c r="K28" s="40"/>
      <c r="M28" s="40"/>
      <c r="N28" s="40"/>
      <c r="O28" s="40"/>
      <c r="P28" s="40"/>
    </row>
    <row r="29" spans="3:16">
      <c r="C29" s="39"/>
      <c r="D29" s="39"/>
      <c r="E29" s="39"/>
      <c r="F29" s="39"/>
      <c r="G29" s="40"/>
      <c r="H29" s="39"/>
      <c r="I29" s="39"/>
      <c r="J29" s="39"/>
      <c r="K29" s="39"/>
      <c r="M29" s="39"/>
      <c r="N29" s="39"/>
      <c r="O29" s="39"/>
      <c r="P29" s="39"/>
    </row>
    <row r="30" spans="3:16">
      <c r="C30" s="39"/>
      <c r="D30" s="39"/>
      <c r="E30" s="39"/>
      <c r="F30" s="39"/>
      <c r="G30" s="40"/>
      <c r="H30" s="39"/>
      <c r="I30" s="39"/>
      <c r="J30" s="39"/>
      <c r="K30" s="39"/>
      <c r="M30" s="39"/>
      <c r="N30" s="39"/>
      <c r="O30" s="39"/>
      <c r="P30" s="39"/>
    </row>
    <row r="32" spans="3:16">
      <c r="H32" s="40"/>
      <c r="I32" s="40"/>
      <c r="J32" s="40"/>
      <c r="K32" s="40"/>
    </row>
    <row r="33" spans="8:11">
      <c r="H33" s="40"/>
      <c r="I33" s="40"/>
      <c r="J33" s="40"/>
      <c r="K33" s="40"/>
    </row>
    <row r="34" spans="8:11">
      <c r="H34" s="40"/>
      <c r="I34" s="40"/>
      <c r="J34" s="40"/>
      <c r="K34" s="40"/>
    </row>
    <row r="35" spans="8:11">
      <c r="H35" s="40"/>
      <c r="I35" s="40"/>
      <c r="J35" s="40"/>
      <c r="K35" s="40"/>
    </row>
    <row r="36" spans="8:11">
      <c r="H36" s="40"/>
      <c r="I36" s="40"/>
      <c r="J36" s="40"/>
      <c r="K36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D24D4F71A634D91A34F14C517243B" ma:contentTypeVersion="15" ma:contentTypeDescription="Create a new document." ma:contentTypeScope="" ma:versionID="05fc492ab67b271d6fee7a7b3ea6bc40">
  <xsd:schema xmlns:xsd="http://www.w3.org/2001/XMLSchema" xmlns:xs="http://www.w3.org/2001/XMLSchema" xmlns:p="http://schemas.microsoft.com/office/2006/metadata/properties" xmlns:ns1="http://schemas.microsoft.com/sharepoint/v3" xmlns:ns2="1f5c59bb-fff3-44bb-af19-8c47570356e4" xmlns:ns3="7aa30d0e-d5b0-496b-a38f-b8a612c662b7" targetNamespace="http://schemas.microsoft.com/office/2006/metadata/properties" ma:root="true" ma:fieldsID="6e0847351a1b9f8b657360ec44063cf8" ns1:_="" ns2:_="" ns3:_="">
    <xsd:import namespace="http://schemas.microsoft.com/sharepoint/v3"/>
    <xsd:import namespace="1f5c59bb-fff3-44bb-af19-8c47570356e4"/>
    <xsd:import namespace="7aa30d0e-d5b0-496b-a38f-b8a612c662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c59bb-fff3-44bb-af19-8c4757035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30d0e-d5b0-496b-a38f-b8a612c662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21B01EA-B47F-4939-8151-AAB49F0A45A8}"/>
</file>

<file path=customXml/itemProps2.xml><?xml version="1.0" encoding="utf-8"?>
<ds:datastoreItem xmlns:ds="http://schemas.openxmlformats.org/officeDocument/2006/customXml" ds:itemID="{D1989C07-7E69-4169-9283-FA8D30B74B83}"/>
</file>

<file path=customXml/itemProps3.xml><?xml version="1.0" encoding="utf-8"?>
<ds:datastoreItem xmlns:ds="http://schemas.openxmlformats.org/officeDocument/2006/customXml" ds:itemID="{6AB80002-685A-41A3-8A9F-1266BC13BD82}"/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Brasley Donna</dc:creator>
  <cp:keywords/>
  <dc:description/>
  <cp:lastModifiedBy/>
  <cp:revision/>
  <dcterms:created xsi:type="dcterms:W3CDTF">2016-01-13T20:21:00Z</dcterms:created>
  <dcterms:modified xsi:type="dcterms:W3CDTF">2025-12-25T01:31:22Z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{5E4D05BD-92C8-4083-944E-14B2FA7482BC}</vt:lpwstr>
  </property>
  <property fmtid="{D5CDD505-2E9C-101B-9397-08002B2CF9AE}" pid="3" name="ContentTypeId">
    <vt:lpwstr>0x010100AC0D24D4F71A634D91A34F14C517243B</vt:lpwstr>
  </property>
</Properties>
</file>